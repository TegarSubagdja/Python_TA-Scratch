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"/>
    </mc:Choice>
  </mc:AlternateContent>
  <xr:revisionPtr revIDLastSave="0" documentId="13_ncr:1_{771B712E-6C9C-42DD-8D38-EC51BE5CD0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E7" i="1"/>
  <c r="E9" i="1"/>
  <c r="E10" i="1"/>
  <c r="E12" i="1"/>
  <c r="E14" i="1"/>
  <c r="E16" i="1"/>
  <c r="E11" i="1"/>
  <c r="E13" i="1"/>
  <c r="E15" i="1"/>
  <c r="E17" i="1"/>
  <c r="E18" i="1"/>
  <c r="E20" i="1"/>
  <c r="E22" i="1"/>
  <c r="E24" i="1"/>
  <c r="E19" i="1"/>
  <c r="E21" i="1"/>
  <c r="E23" i="1"/>
  <c r="E25" i="1"/>
  <c r="E26" i="1"/>
  <c r="E28" i="1"/>
  <c r="E30" i="1"/>
  <c r="E32" i="1"/>
  <c r="E27" i="1"/>
  <c r="E29" i="1"/>
  <c r="E31" i="1"/>
  <c r="E33" i="1"/>
  <c r="E34" i="1"/>
  <c r="E36" i="1"/>
  <c r="E38" i="1"/>
  <c r="E40" i="1"/>
  <c r="E35" i="1"/>
  <c r="E37" i="1"/>
  <c r="E39" i="1"/>
  <c r="E41" i="1"/>
  <c r="E3" i="1"/>
</calcChain>
</file>

<file path=xl/sharedStrings.xml><?xml version="1.0" encoding="utf-8"?>
<sst xmlns="http://schemas.openxmlformats.org/spreadsheetml/2006/main" count="84" uniqueCount="10">
  <si>
    <t>Kombinasi</t>
  </si>
  <si>
    <t>Ukuran</t>
  </si>
  <si>
    <t>Nilai</t>
  </si>
  <si>
    <t>Map</t>
  </si>
  <si>
    <t>A*</t>
  </si>
  <si>
    <t>JPS-BDS-GL-BRC-PPO</t>
  </si>
  <si>
    <t>Map_1</t>
  </si>
  <si>
    <t>Map_2</t>
  </si>
  <si>
    <t>Map_3</t>
  </si>
  <si>
    <t>Map_4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</si>
</sst>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1"/>
  <sheetViews>
    <sheetView tabSelected="1" workbookViewId="0">
      <selection activeCell="N7" sqref="N7"/>
    </sheetView>
  </sheetViews>
  <sheetFormatPr defaultRowHeight="14.4" x14ac:dyDescent="0.3"/>
  <cols>
    <col min="1" max="1" width="18.44140625" bestFit="1" customWidth="1"/>
    <col min="3" max="3" width="24.44140625" customWidth="1"/>
    <col min="5" max="5" width="8.88671875" style="2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3">
      <c r="A2" t="s">
        <v>4</v>
      </c>
      <c r="B2">
        <v>16</v>
      </c>
      <c r="C2">
        <v>24.142135623730951</v>
      </c>
      <c r="D2" t="s">
        <v>3</v>
      </c>
    </row>
    <row r="3" spans="1:5" x14ac:dyDescent="0.3">
      <c r="A3" t="s">
        <v>5</v>
      </c>
      <c r="B3">
        <v>16</v>
      </c>
      <c r="C3">
        <v>23.963990038857649</v>
      </c>
      <c r="D3" t="s">
        <v>3</v>
      </c>
      <c r="E3" s="3" t="e">
        <f>(#REF!-C3)/#REF!</f>
        <v>#REF!</v>
      </c>
    </row>
    <row r="4" spans="1:5" x14ac:dyDescent="0.3">
      <c r="A4" t="s">
        <v>4</v>
      </c>
      <c r="B4">
        <v>32</v>
      </c>
      <c r="C4">
        <v>49.698484809835001</v>
      </c>
      <c r="D4" t="s">
        <v>3</v>
      </c>
    </row>
    <row r="5" spans="1:5" x14ac:dyDescent="0.3">
      <c r="A5" t="s">
        <v>5</v>
      </c>
      <c r="B5">
        <v>32</v>
      </c>
      <c r="C5">
        <v>48.971601968780703</v>
      </c>
      <c r="D5" t="s">
        <v>3</v>
      </c>
      <c r="E5" s="3" t="e">
        <f>(C1-C5)/C1</f>
        <v>#VALUE!</v>
      </c>
    </row>
    <row r="6" spans="1:5" x14ac:dyDescent="0.3">
      <c r="A6" t="s">
        <v>4</v>
      </c>
      <c r="B6">
        <v>64</v>
      </c>
      <c r="C6">
        <v>100.8111831820431</v>
      </c>
      <c r="D6" t="s">
        <v>3</v>
      </c>
    </row>
    <row r="7" spans="1:5" x14ac:dyDescent="0.3">
      <c r="A7" t="s">
        <v>5</v>
      </c>
      <c r="B7">
        <v>64</v>
      </c>
      <c r="C7">
        <v>99.109206619708829</v>
      </c>
      <c r="D7" t="s">
        <v>3</v>
      </c>
      <c r="E7" s="3">
        <f>(C3-C7)/C3</f>
        <v>-3.1357556257953325</v>
      </c>
    </row>
    <row r="8" spans="1:5" x14ac:dyDescent="0.3">
      <c r="A8" t="s">
        <v>4</v>
      </c>
      <c r="B8">
        <v>128</v>
      </c>
      <c r="C8">
        <v>203.0365799264593</v>
      </c>
      <c r="D8" t="s">
        <v>3</v>
      </c>
    </row>
    <row r="9" spans="1:5" x14ac:dyDescent="0.3">
      <c r="A9" t="s">
        <v>5</v>
      </c>
      <c r="B9">
        <v>128</v>
      </c>
      <c r="C9">
        <v>199.42457255008571</v>
      </c>
      <c r="D9" t="s">
        <v>3</v>
      </c>
      <c r="E9" s="3">
        <f>(C5-C9)/C5</f>
        <v>-3.0722493145561884</v>
      </c>
    </row>
    <row r="10" spans="1:5" x14ac:dyDescent="0.3">
      <c r="A10" t="s">
        <v>4</v>
      </c>
      <c r="B10">
        <v>16</v>
      </c>
      <c r="C10">
        <v>25.55634918610405</v>
      </c>
      <c r="D10" t="s">
        <v>6</v>
      </c>
      <c r="E10" s="3">
        <f>(C6-C10)/C6</f>
        <v>0.74649291497794601</v>
      </c>
    </row>
    <row r="11" spans="1:5" x14ac:dyDescent="0.3">
      <c r="A11" t="s">
        <v>5</v>
      </c>
      <c r="B11">
        <v>16</v>
      </c>
      <c r="C11">
        <v>26.055199887160551</v>
      </c>
      <c r="D11" t="s">
        <v>6</v>
      </c>
      <c r="E11" s="3">
        <f>(C7-C11)/C7</f>
        <v>0.73710616020631903</v>
      </c>
    </row>
    <row r="12" spans="1:5" x14ac:dyDescent="0.3">
      <c r="A12" t="s">
        <v>4</v>
      </c>
      <c r="B12">
        <v>32</v>
      </c>
      <c r="C12">
        <v>51.698484809834987</v>
      </c>
      <c r="D12" t="s">
        <v>6</v>
      </c>
      <c r="E12" s="3">
        <f>(C8-C12)/C8</f>
        <v>0.74537354387785493</v>
      </c>
    </row>
    <row r="13" spans="1:5" x14ac:dyDescent="0.3">
      <c r="A13" t="s">
        <v>5</v>
      </c>
      <c r="B13">
        <v>32</v>
      </c>
      <c r="C13">
        <v>52.28288660312667</v>
      </c>
      <c r="D13" t="s">
        <v>6</v>
      </c>
      <c r="E13" s="3">
        <f>(C9-C13)/C9</f>
        <v>0.7378312715701284</v>
      </c>
    </row>
    <row r="14" spans="1:5" x14ac:dyDescent="0.3">
      <c r="A14" t="s">
        <v>4</v>
      </c>
      <c r="B14">
        <v>64</v>
      </c>
      <c r="C14">
        <v>103.9827560572969</v>
      </c>
      <c r="D14" t="s">
        <v>6</v>
      </c>
      <c r="E14" s="3">
        <f>(C10-C14)/C10</f>
        <v>-3.068764098505754</v>
      </c>
    </row>
    <row r="15" spans="1:5" x14ac:dyDescent="0.3">
      <c r="A15" t="s">
        <v>5</v>
      </c>
      <c r="B15">
        <v>64</v>
      </c>
      <c r="C15">
        <v>105.108348609036</v>
      </c>
      <c r="D15" t="s">
        <v>6</v>
      </c>
      <c r="E15" s="3">
        <f>(C11-C15)/C11</f>
        <v>-3.0340641815928326</v>
      </c>
    </row>
    <row r="16" spans="1:5" x14ac:dyDescent="0.3">
      <c r="A16" t="s">
        <v>4</v>
      </c>
      <c r="B16">
        <v>128</v>
      </c>
      <c r="C16">
        <v>208.55129855222069</v>
      </c>
      <c r="D16" t="s">
        <v>6</v>
      </c>
      <c r="E16" s="3">
        <f>(C12-C16)/C12</f>
        <v>-3.0339924723005893</v>
      </c>
    </row>
    <row r="17" spans="1:5" x14ac:dyDescent="0.3">
      <c r="A17" t="s">
        <v>5</v>
      </c>
      <c r="B17">
        <v>128</v>
      </c>
      <c r="C17">
        <v>211.04304927991731</v>
      </c>
      <c r="D17" t="s">
        <v>6</v>
      </c>
      <c r="E17" s="3">
        <f>(C13-C17)/C13</f>
        <v>-3.0365607752670698</v>
      </c>
    </row>
    <row r="18" spans="1:5" x14ac:dyDescent="0.3">
      <c r="A18" t="s">
        <v>4</v>
      </c>
      <c r="B18">
        <v>16</v>
      </c>
      <c r="C18">
        <v>25.313708498984759</v>
      </c>
      <c r="D18" t="s">
        <v>7</v>
      </c>
      <c r="E18" s="3">
        <f>(C14-C18)/C14</f>
        <v>0.75655859241664725</v>
      </c>
    </row>
    <row r="19" spans="1:5" x14ac:dyDescent="0.3">
      <c r="A19" t="s">
        <v>5</v>
      </c>
      <c r="B19">
        <v>16</v>
      </c>
      <c r="C19">
        <v>26.54977647648456</v>
      </c>
      <c r="D19" t="s">
        <v>7</v>
      </c>
      <c r="E19" s="3">
        <f>(C15-C19)/C15</f>
        <v>0.74740563591918019</v>
      </c>
    </row>
    <row r="20" spans="1:5" x14ac:dyDescent="0.3">
      <c r="A20" t="s">
        <v>4</v>
      </c>
      <c r="B20">
        <v>32</v>
      </c>
      <c r="C20">
        <v>52.041630560342618</v>
      </c>
      <c r="D20" t="s">
        <v>7</v>
      </c>
      <c r="E20" s="3">
        <f>(C16-C20)/C16</f>
        <v>0.75046124899907285</v>
      </c>
    </row>
    <row r="21" spans="1:5" x14ac:dyDescent="0.3">
      <c r="A21" t="s">
        <v>5</v>
      </c>
      <c r="B21">
        <v>32</v>
      </c>
      <c r="C21">
        <v>53.498586721382473</v>
      </c>
      <c r="D21" t="s">
        <v>7</v>
      </c>
      <c r="E21" s="3">
        <f>(C17-C21)/C17</f>
        <v>0.74650391517787185</v>
      </c>
    </row>
    <row r="22" spans="1:5" x14ac:dyDescent="0.3">
      <c r="A22" t="s">
        <v>4</v>
      </c>
      <c r="B22">
        <v>64</v>
      </c>
      <c r="C22">
        <v>105.4974746830583</v>
      </c>
      <c r="D22" t="s">
        <v>7</v>
      </c>
      <c r="E22" s="3">
        <f>(C18-C22)/C18</f>
        <v>-3.1676024944069106</v>
      </c>
    </row>
    <row r="23" spans="1:5" x14ac:dyDescent="0.3">
      <c r="A23" t="s">
        <v>5</v>
      </c>
      <c r="B23">
        <v>64</v>
      </c>
      <c r="C23">
        <v>106.8493377268543</v>
      </c>
      <c r="D23" t="s">
        <v>7</v>
      </c>
      <c r="E23" s="3">
        <f>(C19-C23)/C19</f>
        <v>-3.0244910469017312</v>
      </c>
    </row>
    <row r="24" spans="1:5" x14ac:dyDescent="0.3">
      <c r="A24" t="s">
        <v>4</v>
      </c>
      <c r="B24">
        <v>128</v>
      </c>
      <c r="C24">
        <v>212.40916292848979</v>
      </c>
      <c r="D24" t="s">
        <v>7</v>
      </c>
      <c r="E24" s="3">
        <f>(C20-C24)/C20</f>
        <v>-3.0815239768900007</v>
      </c>
    </row>
    <row r="25" spans="1:5" x14ac:dyDescent="0.3">
      <c r="A25" t="s">
        <v>5</v>
      </c>
      <c r="B25">
        <v>128</v>
      </c>
      <c r="C25">
        <v>214.33647357812561</v>
      </c>
      <c r="D25" t="s">
        <v>7</v>
      </c>
      <c r="E25" s="3">
        <f>(C21-C25)/C21</f>
        <v>-3.0063950603850058</v>
      </c>
    </row>
    <row r="26" spans="1:5" x14ac:dyDescent="0.3">
      <c r="A26" t="s">
        <v>4</v>
      </c>
      <c r="B26">
        <v>16</v>
      </c>
      <c r="C26">
        <v>23.55634918610405</v>
      </c>
      <c r="D26" t="s">
        <v>8</v>
      </c>
      <c r="E26" s="3">
        <f>(C22-C26)/C22</f>
        <v>0.77671172455195325</v>
      </c>
    </row>
    <row r="27" spans="1:5" x14ac:dyDescent="0.3">
      <c r="A27" t="s">
        <v>5</v>
      </c>
      <c r="B27">
        <v>16</v>
      </c>
      <c r="C27">
        <v>23.08709566447531</v>
      </c>
      <c r="D27" t="s">
        <v>8</v>
      </c>
      <c r="E27" s="3">
        <f>(C23-C27)/C23</f>
        <v>0.78392850947289616</v>
      </c>
    </row>
    <row r="28" spans="1:5" x14ac:dyDescent="0.3">
      <c r="A28" t="s">
        <v>4</v>
      </c>
      <c r="B28">
        <v>32</v>
      </c>
      <c r="C28">
        <v>48.526911934581179</v>
      </c>
      <c r="D28" t="s">
        <v>8</v>
      </c>
      <c r="E28" s="3">
        <f>(C24-C28)/C24</f>
        <v>0.77154040218632947</v>
      </c>
    </row>
    <row r="29" spans="1:5" x14ac:dyDescent="0.3">
      <c r="A29" t="s">
        <v>5</v>
      </c>
      <c r="B29">
        <v>32</v>
      </c>
      <c r="C29">
        <v>47.142608793074928</v>
      </c>
      <c r="D29" t="s">
        <v>8</v>
      </c>
      <c r="E29" s="3">
        <f>(C25-C29)/C25</f>
        <v>0.78005325922332358</v>
      </c>
    </row>
    <row r="30" spans="1:5" x14ac:dyDescent="0.3">
      <c r="A30" t="s">
        <v>4</v>
      </c>
      <c r="B30">
        <v>64</v>
      </c>
      <c r="C30">
        <v>98.468037431535464</v>
      </c>
      <c r="D30" t="s">
        <v>8</v>
      </c>
      <c r="E30" s="3">
        <f>(C26-C30)/C26</f>
        <v>-3.1801060365339633</v>
      </c>
    </row>
    <row r="31" spans="1:5" x14ac:dyDescent="0.3">
      <c r="A31" t="s">
        <v>5</v>
      </c>
      <c r="B31">
        <v>64</v>
      </c>
      <c r="C31">
        <v>95.643929748144473</v>
      </c>
      <c r="D31" t="s">
        <v>8</v>
      </c>
      <c r="E31" s="3">
        <f>(C27-C31)/C27</f>
        <v>-3.1427441172392321</v>
      </c>
    </row>
    <row r="32" spans="1:5" x14ac:dyDescent="0.3">
      <c r="A32" t="s">
        <v>4</v>
      </c>
      <c r="B32">
        <v>128</v>
      </c>
      <c r="C32">
        <v>198.35028842544401</v>
      </c>
      <c r="D32" t="s">
        <v>8</v>
      </c>
      <c r="E32" s="3">
        <f>(C28-C32)/C28</f>
        <v>-3.0874286147208121</v>
      </c>
    </row>
    <row r="33" spans="1:5" x14ac:dyDescent="0.3">
      <c r="A33" t="s">
        <v>5</v>
      </c>
      <c r="B33">
        <v>128</v>
      </c>
      <c r="C33">
        <v>199.17877017245129</v>
      </c>
      <c r="D33" t="s">
        <v>8</v>
      </c>
      <c r="E33" s="3">
        <f>(C29-C33)/C29</f>
        <v>-3.2250264733272447</v>
      </c>
    </row>
    <row r="34" spans="1:5" x14ac:dyDescent="0.3">
      <c r="A34" t="s">
        <v>4</v>
      </c>
      <c r="B34">
        <v>16</v>
      </c>
      <c r="C34">
        <v>22.970562748477139</v>
      </c>
      <c r="D34" t="s">
        <v>9</v>
      </c>
      <c r="E34" s="3">
        <f>(C30-C34)/C30</f>
        <v>0.76672061972953909</v>
      </c>
    </row>
    <row r="35" spans="1:5" x14ac:dyDescent="0.3">
      <c r="A35" t="s">
        <v>5</v>
      </c>
      <c r="B35">
        <v>16</v>
      </c>
      <c r="C35">
        <v>23.9102632953472</v>
      </c>
      <c r="D35" t="s">
        <v>9</v>
      </c>
      <c r="E35" s="3">
        <f>(C31-C35)/C31</f>
        <v>0.75000751894752571</v>
      </c>
    </row>
    <row r="36" spans="1:5" x14ac:dyDescent="0.3">
      <c r="A36" t="s">
        <v>4</v>
      </c>
      <c r="B36">
        <v>32</v>
      </c>
      <c r="C36">
        <v>47.355339059327378</v>
      </c>
      <c r="D36" t="s">
        <v>9</v>
      </c>
      <c r="E36" s="3">
        <f>(C32-C36)/C32</f>
        <v>0.76125399445976949</v>
      </c>
    </row>
    <row r="37" spans="1:5" x14ac:dyDescent="0.3">
      <c r="A37" t="s">
        <v>5</v>
      </c>
      <c r="B37">
        <v>32</v>
      </c>
      <c r="C37">
        <v>47.714742845122878</v>
      </c>
      <c r="D37" t="s">
        <v>9</v>
      </c>
      <c r="E37" s="3">
        <f>(C33-C37)/C33</f>
        <v>0.76044262747575508</v>
      </c>
    </row>
    <row r="38" spans="1:5" x14ac:dyDescent="0.3">
      <c r="A38" t="s">
        <v>4</v>
      </c>
      <c r="B38">
        <v>64</v>
      </c>
      <c r="C38">
        <v>96.124891681027847</v>
      </c>
      <c r="D38" t="s">
        <v>9</v>
      </c>
      <c r="E38" s="3">
        <f>(C34-C38)/C34</f>
        <v>-3.1846990312590648</v>
      </c>
    </row>
    <row r="39" spans="1:5" x14ac:dyDescent="0.3">
      <c r="A39" t="s">
        <v>5</v>
      </c>
      <c r="B39">
        <v>64</v>
      </c>
      <c r="C39">
        <v>95.528411805246748</v>
      </c>
      <c r="D39" t="s">
        <v>9</v>
      </c>
      <c r="E39" s="3">
        <f>(C35-C39)/C35</f>
        <v>-2.9952889947404318</v>
      </c>
    </row>
    <row r="40" spans="1:5" x14ac:dyDescent="0.3">
      <c r="A40" t="s">
        <v>4</v>
      </c>
      <c r="B40">
        <v>128</v>
      </c>
      <c r="C40">
        <v>193.6639969244288</v>
      </c>
      <c r="D40" t="s">
        <v>9</v>
      </c>
      <c r="E40" s="3">
        <f>(C36-C40)/C36</f>
        <v>-3.0895916019480731</v>
      </c>
    </row>
    <row r="41" spans="1:5" x14ac:dyDescent="0.3">
      <c r="A41" t="s">
        <v>5</v>
      </c>
      <c r="B41">
        <v>128</v>
      </c>
      <c r="C41">
        <v>192.3107767209485</v>
      </c>
      <c r="D41" t="s">
        <v>9</v>
      </c>
      <c r="E41" s="3">
        <f>(C37-C41)/C37</f>
        <v>-3.0304267665272637</v>
      </c>
    </row>
  </sheetData>
  <sortState xmlns:xlrd2="http://schemas.microsoft.com/office/spreadsheetml/2017/richdata2" ref="A2:E41">
    <sortCondition ref="D2:D41"/>
    <sortCondition ref="B2:B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2025-07-28T13:20:10Z</dcterms:created>
  <dcterms:modified xsi:type="dcterms:W3CDTF">2025-07-28T13:49:57Z</dcterms:modified>
</cp:coreProperties>
</file>