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029"/>
  <workbookPr defaultThemeVersion="124226"/>
  <mc:AlternateContent xmlns:mc="http://schemas.openxmlformats.org/markup-compatibility/2006">
    <mc:Choice Requires="x15">
      <x15ac:absPath xmlns:x15ac="http://schemas.microsoft.com/office/spreadsheetml/2010/11/ac" url="D:\SEMHAS\TA_Python_Server\Excel\Rekap\"/>
    </mc:Choice>
  </mc:AlternateContent>
  <xr:revisionPtr revIDLastSave="0" documentId="13_ncr:1_{F0983686-531B-47F1-838D-015FCE595EC7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definedNames>
    <definedName name="_xlnm._FilterDatabase" localSheetId="0" hidden="1">Sheet1!$A$1:$O$49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2" i="1" l="1"/>
  <c r="L2" i="1"/>
  <c r="O2" i="1" s="1"/>
  <c r="M2" i="1"/>
  <c r="N2" i="1"/>
  <c r="I3" i="1"/>
  <c r="L3" i="1"/>
  <c r="M3" i="1"/>
  <c r="N3" i="1"/>
  <c r="O3" i="1"/>
  <c r="I4" i="1"/>
  <c r="L4" i="1"/>
  <c r="M4" i="1"/>
  <c r="N4" i="1"/>
  <c r="O4" i="1" s="1"/>
  <c r="I5" i="1"/>
  <c r="L5" i="1"/>
  <c r="M5" i="1"/>
  <c r="N5" i="1"/>
  <c r="O5" i="1"/>
  <c r="I6" i="1"/>
  <c r="L6" i="1"/>
  <c r="O6" i="1" s="1"/>
  <c r="M6" i="1"/>
  <c r="N6" i="1"/>
  <c r="I7" i="1"/>
  <c r="L7" i="1"/>
  <c r="M7" i="1"/>
  <c r="N7" i="1"/>
  <c r="O7" i="1"/>
  <c r="I8" i="1"/>
  <c r="L8" i="1"/>
  <c r="M8" i="1"/>
  <c r="N8" i="1"/>
  <c r="O8" i="1"/>
  <c r="I9" i="1"/>
  <c r="L9" i="1"/>
  <c r="M9" i="1"/>
  <c r="N9" i="1"/>
  <c r="O9" i="1"/>
  <c r="I10" i="1"/>
  <c r="L10" i="1"/>
  <c r="O10" i="1" s="1"/>
  <c r="M10" i="1"/>
  <c r="N10" i="1"/>
  <c r="I11" i="1"/>
  <c r="L11" i="1"/>
  <c r="M11" i="1"/>
  <c r="N11" i="1"/>
  <c r="O11" i="1"/>
  <c r="I12" i="1"/>
  <c r="L12" i="1"/>
  <c r="M12" i="1"/>
  <c r="N12" i="1"/>
  <c r="O12" i="1"/>
  <c r="I13" i="1"/>
  <c r="L13" i="1"/>
  <c r="M13" i="1"/>
  <c r="N13" i="1"/>
  <c r="O13" i="1"/>
  <c r="I14" i="1"/>
  <c r="L14" i="1"/>
  <c r="O14" i="1" s="1"/>
  <c r="M14" i="1"/>
  <c r="N14" i="1"/>
  <c r="I15" i="1"/>
  <c r="L15" i="1"/>
  <c r="M15" i="1"/>
  <c r="N15" i="1"/>
  <c r="O15" i="1"/>
  <c r="I16" i="1"/>
  <c r="L16" i="1"/>
  <c r="M16" i="1"/>
  <c r="N16" i="1"/>
  <c r="O16" i="1"/>
  <c r="I17" i="1"/>
  <c r="L17" i="1"/>
  <c r="M17" i="1"/>
  <c r="N17" i="1"/>
  <c r="I18" i="1"/>
  <c r="O18" i="1" s="1"/>
  <c r="L18" i="1"/>
  <c r="M18" i="1"/>
  <c r="N18" i="1"/>
  <c r="I19" i="1"/>
  <c r="L19" i="1"/>
  <c r="M19" i="1"/>
  <c r="N19" i="1"/>
  <c r="O19" i="1"/>
  <c r="I20" i="1"/>
  <c r="L20" i="1"/>
  <c r="M20" i="1"/>
  <c r="N20" i="1"/>
  <c r="O20" i="1"/>
  <c r="I21" i="1"/>
  <c r="L21" i="1"/>
  <c r="M21" i="1"/>
  <c r="N21" i="1"/>
  <c r="O21" i="1"/>
  <c r="I22" i="1"/>
  <c r="O22" i="1" s="1"/>
  <c r="L22" i="1"/>
  <c r="M22" i="1"/>
  <c r="N22" i="1"/>
  <c r="I23" i="1"/>
  <c r="L23" i="1"/>
  <c r="M23" i="1"/>
  <c r="N23" i="1"/>
  <c r="O23" i="1"/>
  <c r="I24" i="1"/>
  <c r="L24" i="1"/>
  <c r="M24" i="1"/>
  <c r="N24" i="1"/>
  <c r="O24" i="1" s="1"/>
  <c r="I25" i="1"/>
  <c r="L25" i="1"/>
  <c r="M25" i="1"/>
  <c r="N25" i="1"/>
  <c r="O25" i="1"/>
  <c r="I26" i="1"/>
  <c r="O26" i="1" s="1"/>
  <c r="L26" i="1"/>
  <c r="M26" i="1"/>
  <c r="N26" i="1"/>
  <c r="I27" i="1"/>
  <c r="L27" i="1"/>
  <c r="M27" i="1"/>
  <c r="N27" i="1"/>
  <c r="O27" i="1"/>
  <c r="I28" i="1"/>
  <c r="L28" i="1"/>
  <c r="M28" i="1"/>
  <c r="N28" i="1"/>
  <c r="O28" i="1"/>
  <c r="I29" i="1"/>
  <c r="L29" i="1"/>
  <c r="M29" i="1"/>
  <c r="N29" i="1"/>
  <c r="O29" i="1"/>
  <c r="I30" i="1"/>
  <c r="O30" i="1" s="1"/>
  <c r="L30" i="1"/>
  <c r="M30" i="1"/>
  <c r="N30" i="1"/>
  <c r="I31" i="1"/>
  <c r="L31" i="1"/>
  <c r="M31" i="1"/>
  <c r="N31" i="1"/>
  <c r="O31" i="1"/>
  <c r="I32" i="1"/>
  <c r="L32" i="1"/>
  <c r="M32" i="1"/>
  <c r="N32" i="1"/>
  <c r="O32" i="1"/>
  <c r="I33" i="1"/>
  <c r="L33" i="1"/>
  <c r="M33" i="1"/>
  <c r="N33" i="1"/>
  <c r="O33" i="1"/>
  <c r="I34" i="1"/>
  <c r="O34" i="1" s="1"/>
  <c r="L34" i="1"/>
  <c r="M34" i="1"/>
  <c r="N34" i="1"/>
  <c r="I35" i="1"/>
  <c r="L35" i="1"/>
  <c r="M35" i="1"/>
  <c r="N35" i="1"/>
  <c r="O35" i="1"/>
  <c r="I36" i="1"/>
  <c r="L36" i="1"/>
  <c r="M36" i="1"/>
  <c r="N36" i="1"/>
  <c r="O36" i="1"/>
  <c r="I37" i="1"/>
  <c r="L37" i="1"/>
  <c r="M37" i="1"/>
  <c r="N37" i="1"/>
  <c r="O37" i="1" s="1"/>
  <c r="I38" i="1"/>
  <c r="O38" i="1" s="1"/>
  <c r="L38" i="1"/>
  <c r="M38" i="1"/>
  <c r="N38" i="1"/>
  <c r="I39" i="1"/>
  <c r="L39" i="1"/>
  <c r="O39" i="1" s="1"/>
  <c r="M39" i="1"/>
  <c r="N39" i="1"/>
  <c r="I40" i="1"/>
  <c r="L40" i="1"/>
  <c r="M40" i="1"/>
  <c r="N40" i="1"/>
  <c r="O40" i="1"/>
  <c r="I41" i="1"/>
  <c r="L41" i="1"/>
  <c r="M41" i="1"/>
  <c r="N41" i="1"/>
  <c r="O41" i="1"/>
  <c r="I42" i="1"/>
  <c r="O42" i="1" s="1"/>
  <c r="L42" i="1"/>
  <c r="M42" i="1"/>
  <c r="N42" i="1"/>
  <c r="I43" i="1"/>
  <c r="L43" i="1"/>
  <c r="O43" i="1" s="1"/>
  <c r="M43" i="1"/>
  <c r="N43" i="1"/>
  <c r="I44" i="1"/>
  <c r="L44" i="1"/>
  <c r="M44" i="1"/>
  <c r="N44" i="1"/>
  <c r="O44" i="1"/>
  <c r="I45" i="1"/>
  <c r="L45" i="1"/>
  <c r="M45" i="1"/>
  <c r="N45" i="1"/>
  <c r="O45" i="1"/>
  <c r="I46" i="1"/>
  <c r="O46" i="1" s="1"/>
  <c r="L46" i="1"/>
  <c r="M46" i="1"/>
  <c r="N46" i="1"/>
  <c r="I47" i="1"/>
  <c r="L47" i="1"/>
  <c r="O47" i="1" s="1"/>
  <c r="M47" i="1"/>
  <c r="N47" i="1"/>
  <c r="I48" i="1"/>
  <c r="L48" i="1"/>
  <c r="M48" i="1"/>
  <c r="N48" i="1"/>
  <c r="O48" i="1"/>
  <c r="I49" i="1"/>
  <c r="L49" i="1"/>
  <c r="M49" i="1"/>
  <c r="N49" i="1"/>
  <c r="O49" i="1"/>
  <c r="O17" i="1" l="1"/>
</calcChain>
</file>

<file path=xl/sharedStrings.xml><?xml version="1.0" encoding="utf-8"?>
<sst xmlns="http://schemas.openxmlformats.org/spreadsheetml/2006/main" count="56" uniqueCount="56">
  <si>
    <t>Kombinasi</t>
  </si>
  <si>
    <t>Waktu Pencarian</t>
  </si>
  <si>
    <t>Panjang Jalur</t>
  </si>
  <si>
    <t>Panjang Jalur Real</t>
  </si>
  <si>
    <t>Jumlah Open</t>
  </si>
  <si>
    <t>Jumlah Close</t>
  </si>
  <si>
    <t>Jumlah Belok</t>
  </si>
  <si>
    <t>avg</t>
  </si>
  <si>
    <t>A*</t>
  </si>
  <si>
    <t>BDS</t>
  </si>
  <si>
    <t>BRC</t>
  </si>
  <si>
    <t>GL</t>
  </si>
  <si>
    <t>JPS</t>
  </si>
  <si>
    <t>PPO</t>
  </si>
  <si>
    <t>TPF</t>
  </si>
  <si>
    <t>BDS-BRC</t>
  </si>
  <si>
    <t>BDS-GL</t>
  </si>
  <si>
    <t>BDS-PPO</t>
  </si>
  <si>
    <t>BDS-TPF</t>
  </si>
  <si>
    <t>BRC-PPO</t>
  </si>
  <si>
    <t>BRC-TPF</t>
  </si>
  <si>
    <t>GL-BRC</t>
  </si>
  <si>
    <t>GL-PPO</t>
  </si>
  <si>
    <t>GL-TPF</t>
  </si>
  <si>
    <t>JPS-BDS</t>
  </si>
  <si>
    <t>JPS-BRC</t>
  </si>
  <si>
    <t>JPS-GL</t>
  </si>
  <si>
    <t>JPS-PPO</t>
  </si>
  <si>
    <t>TPF-PPO</t>
  </si>
  <si>
    <t>BDS-BRC-PPO</t>
  </si>
  <si>
    <t>BDS-BRC-TPF</t>
  </si>
  <si>
    <t>BDS-GL-BRC</t>
  </si>
  <si>
    <t>BDS-GL-PPO</t>
  </si>
  <si>
    <t>BDS-GL-TPF</t>
  </si>
  <si>
    <t>BDS-TPF-PPO</t>
  </si>
  <si>
    <t>BRC-TPF-PPO</t>
  </si>
  <si>
    <t>GL-BRC-PPO</t>
  </si>
  <si>
    <t>GL-BRC-TPF</t>
  </si>
  <si>
    <t>GL-TPF-PPO</t>
  </si>
  <si>
    <t>JPS-BDS-BRC</t>
  </si>
  <si>
    <t>JPS-BDS-GL</t>
  </si>
  <si>
    <t>JPS-BDS-PPO</t>
  </si>
  <si>
    <t>JPS-BRC-PPO</t>
  </si>
  <si>
    <t>JPS-GL-BRC</t>
  </si>
  <si>
    <t>JPS-GL-PPO</t>
  </si>
  <si>
    <t>BDS-BRC-TPF-PPO</t>
  </si>
  <si>
    <t>BDS-GL-BRC-PPO</t>
  </si>
  <si>
    <t>BDS-GL-BRC-TPF</t>
  </si>
  <si>
    <t>BDS-GL-TPF-PPO</t>
  </si>
  <si>
    <t>GL-BRC-TPF-PPO</t>
  </si>
  <si>
    <t>JPS-BDS-BRC-PPO</t>
  </si>
  <si>
    <t>JPS-BDS-GL-BRC</t>
  </si>
  <si>
    <t>JPS-BDS-GL-PPO</t>
  </si>
  <si>
    <t>JPS-GL-BRC-PPO</t>
  </si>
  <si>
    <t>BDS-GL-BRC-TPF-PPO</t>
  </si>
  <si>
    <t>JPS-BDS-GL-BRC-PPO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</si>
</sst>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49"/>
  <sheetViews>
    <sheetView tabSelected="1" zoomScale="85" zoomScaleNormal="85" workbookViewId="0">
      <selection activeCell="Q6" sqref="Q6"/>
    </sheetView>
  </sheetViews>
  <sheetFormatPr defaultRowHeight="14.4" x14ac:dyDescent="0.3"/>
  <cols>
    <col min="1" max="1" width="18.77734375" bestFit="1" customWidth="1"/>
    <col min="2" max="2" width="19.88671875" bestFit="1" customWidth="1"/>
    <col min="3" max="3" width="16.6640625" bestFit="1" customWidth="1"/>
    <col min="4" max="4" width="20.77734375" bestFit="1" customWidth="1"/>
    <col min="5" max="5" width="16.44140625" bestFit="1" customWidth="1"/>
    <col min="6" max="6" width="16.33203125" bestFit="1" customWidth="1"/>
    <col min="7" max="7" width="16.5546875" bestFit="1" customWidth="1"/>
    <col min="8" max="8" width="12" bestFit="1" customWidth="1"/>
  </cols>
  <sheetData>
    <row r="1" spans="1:15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15" x14ac:dyDescent="0.3">
      <c r="A2" t="s">
        <v>41</v>
      </c>
      <c r="B2">
        <v>5.2558550000000002E-3</v>
      </c>
      <c r="C2">
        <v>8.1999999999999993</v>
      </c>
      <c r="D2">
        <v>91.586735415894083</v>
      </c>
      <c r="E2">
        <v>16.75</v>
      </c>
      <c r="F2">
        <v>32.9</v>
      </c>
      <c r="G2">
        <v>6.2</v>
      </c>
      <c r="H2">
        <v>25.94033187848234</v>
      </c>
      <c r="I2">
        <f>(B2 - MIN($B$2:$B$49)) / (MAX($B$2:$B$49) - MIN($B$2:$B$49))</f>
        <v>3.9337944013608656E-2</v>
      </c>
      <c r="L2">
        <f>(E2 - MIN($E$2:$E$49)) / (MAX($E$2:$E$49) - MIN($E$2:$E$49))</f>
        <v>1.758555133079848E-2</v>
      </c>
      <c r="M2">
        <f>(F2 - MIN($F$2:$F$49)) / (MAX($F$2:$F$49) - MIN($F$2:$F$49))</f>
        <v>7.1214779647022376E-3</v>
      </c>
      <c r="N2">
        <f>(G2 - MIN($G$2:$G$49)) / (MAX($G$2:$G$49) - MIN($G$2:$G$49))</f>
        <v>4.8582995951417046E-2</v>
      </c>
      <c r="O2">
        <f>AVERAGE(I2:N2)</f>
        <v>2.8156992315131604E-2</v>
      </c>
    </row>
    <row r="3" spans="1:15" x14ac:dyDescent="0.3">
      <c r="A3" t="s">
        <v>42</v>
      </c>
      <c r="B3">
        <v>3.2481800000000011E-3</v>
      </c>
      <c r="C3">
        <v>9.25</v>
      </c>
      <c r="D3">
        <v>94.333317405638155</v>
      </c>
      <c r="E3">
        <v>11.2</v>
      </c>
      <c r="F3">
        <v>22.55</v>
      </c>
      <c r="G3">
        <v>7.2</v>
      </c>
      <c r="H3">
        <v>24.08942759760636</v>
      </c>
      <c r="I3">
        <f>(B3 - MIN($B$2:$B$49)) / (MAX($B$2:$B$49) - MIN($B$2:$B$49))</f>
        <v>6.4078452302513886E-4</v>
      </c>
      <c r="L3">
        <f>(E3 - MIN($E$2:$E$49)) / (MAX($E$2:$E$49) - MIN($E$2:$E$49))</f>
        <v>0</v>
      </c>
      <c r="M3">
        <f>(F3 - MIN($F$2:$F$49)) / (MAX($F$2:$F$49) - MIN($F$2:$F$49))</f>
        <v>0</v>
      </c>
      <c r="N3">
        <f>(G3 - MIN($G$2:$G$49)) / (MAX($G$2:$G$49) - MIN($G$2:$G$49))</f>
        <v>0.1295546558704454</v>
      </c>
      <c r="O3">
        <f>AVERAGE(I3:N3)</f>
        <v>3.2548860098367632E-2</v>
      </c>
    </row>
    <row r="4" spans="1:15" x14ac:dyDescent="0.3">
      <c r="A4" t="s">
        <v>44</v>
      </c>
      <c r="B4">
        <v>5.5116899999999996E-3</v>
      </c>
      <c r="C4">
        <v>8.5</v>
      </c>
      <c r="D4">
        <v>92.25184786420435</v>
      </c>
      <c r="E4">
        <v>15.6</v>
      </c>
      <c r="F4">
        <v>38.1</v>
      </c>
      <c r="G4">
        <v>6.5</v>
      </c>
      <c r="H4">
        <v>26.826226592367391</v>
      </c>
      <c r="I4">
        <f>(B4 - MIN($B$2:$B$49)) / (MAX($B$2:$B$49) - MIN($B$2:$B$49))</f>
        <v>4.4269064736969468E-2</v>
      </c>
      <c r="L4">
        <f>(E4 - MIN($E$2:$E$49)) / (MAX($E$2:$E$49) - MIN($E$2:$E$49))</f>
        <v>1.3941698352344741E-2</v>
      </c>
      <c r="M4">
        <f>(F4 - MIN($F$2:$F$49)) / (MAX($F$2:$F$49) - MIN($F$2:$F$49))</f>
        <v>1.0699418584649258E-2</v>
      </c>
      <c r="N4">
        <f>(G4 - MIN($G$2:$G$49)) / (MAX($G$2:$G$49) - MIN($G$2:$G$49))</f>
        <v>7.2874493927125542E-2</v>
      </c>
      <c r="O4">
        <f>AVERAGE(I4:N4)</f>
        <v>3.5446168900272253E-2</v>
      </c>
    </row>
    <row r="5" spans="1:15" x14ac:dyDescent="0.3">
      <c r="A5" t="s">
        <v>50</v>
      </c>
      <c r="B5">
        <v>5.0013999999999996E-3</v>
      </c>
      <c r="C5">
        <v>8.75</v>
      </c>
      <c r="D5">
        <v>92.906908334827378</v>
      </c>
      <c r="E5">
        <v>16.3</v>
      </c>
      <c r="F5">
        <v>29.1</v>
      </c>
      <c r="G5">
        <v>6.7</v>
      </c>
      <c r="H5">
        <v>25.626984955804559</v>
      </c>
      <c r="I5">
        <f>(B5 - MIN($B$2:$B$49)) / (MAX($B$2:$B$49) - MIN($B$2:$B$49))</f>
        <v>3.4433422256762325E-2</v>
      </c>
      <c r="L5">
        <f>(E5 - MIN($E$2:$E$49)) / (MAX($E$2:$E$49) - MIN($E$2:$E$49))</f>
        <v>1.6159695817490497E-2</v>
      </c>
      <c r="M5">
        <f>(F5 - MIN($F$2:$F$49)) / (MAX($F$2:$F$49) - MIN($F$2:$F$49))</f>
        <v>4.5068290501255716E-3</v>
      </c>
      <c r="N5">
        <f>(G5 - MIN($G$2:$G$49)) / (MAX($G$2:$G$49) - MIN($G$2:$G$49))</f>
        <v>8.9068825910931224E-2</v>
      </c>
      <c r="O5">
        <f>AVERAGE(I5:N5)</f>
        <v>3.6042193258827404E-2</v>
      </c>
    </row>
    <row r="6" spans="1:15" x14ac:dyDescent="0.3">
      <c r="A6" t="s">
        <v>53</v>
      </c>
      <c r="B6">
        <v>3.740125E-3</v>
      </c>
      <c r="C6">
        <v>9.25</v>
      </c>
      <c r="D6">
        <v>94.146310616959468</v>
      </c>
      <c r="E6">
        <v>12.7</v>
      </c>
      <c r="F6">
        <v>24.35</v>
      </c>
      <c r="G6">
        <v>7.2</v>
      </c>
      <c r="H6">
        <v>24.60834179032658</v>
      </c>
      <c r="I6">
        <f>(B6 - MIN($B$2:$B$49)) / (MAX($B$2:$B$49) - MIN($B$2:$B$49))</f>
        <v>1.0122834220110111E-2</v>
      </c>
      <c r="L6">
        <f>(E6 - MIN($E$2:$E$49)) / (MAX($E$2:$E$49) - MIN($E$2:$E$49))</f>
        <v>4.7528517110266158E-3</v>
      </c>
      <c r="M6">
        <f>(F6 - MIN($F$2:$F$49)) / (MAX($F$2:$F$49) - MIN($F$2:$F$49))</f>
        <v>1.2385179069047377E-3</v>
      </c>
      <c r="N6">
        <f>(G6 - MIN($G$2:$G$49)) / (MAX($G$2:$G$49) - MIN($G$2:$G$49))</f>
        <v>0.1295546558704454</v>
      </c>
      <c r="O6">
        <f>AVERAGE(I6:N6)</f>
        <v>3.6417214927121716E-2</v>
      </c>
    </row>
    <row r="7" spans="1:15" x14ac:dyDescent="0.3">
      <c r="A7" t="s">
        <v>27</v>
      </c>
      <c r="B7">
        <v>6.6644749999999996E-3</v>
      </c>
      <c r="C7">
        <v>8.5</v>
      </c>
      <c r="D7">
        <v>92.716465097302731</v>
      </c>
      <c r="E7">
        <v>13.1</v>
      </c>
      <c r="F7">
        <v>43</v>
      </c>
      <c r="G7">
        <v>6.5</v>
      </c>
      <c r="H7">
        <v>27.303854928717119</v>
      </c>
      <c r="I7">
        <f>(B7 - MIN($B$2:$B$49)) / (MAX($B$2:$B$49) - MIN($B$2:$B$49))</f>
        <v>6.6488549964086582E-2</v>
      </c>
      <c r="L7">
        <f>(E7 - MIN($E$2:$E$49)) / (MAX($E$2:$E$49) - MIN($E$2:$E$49))</f>
        <v>6.0202788339670478E-3</v>
      </c>
      <c r="M7">
        <f>(F7 - MIN($F$2:$F$49)) / (MAX($F$2:$F$49) - MIN($F$2:$F$49))</f>
        <v>1.4070939553445487E-2</v>
      </c>
      <c r="N7">
        <f>(G7 - MIN($G$2:$G$49)) / (MAX($G$2:$G$49) - MIN($G$2:$G$49))</f>
        <v>7.2874493927125542E-2</v>
      </c>
      <c r="O7">
        <f>AVERAGE(I7:N7)</f>
        <v>3.9863565569656166E-2</v>
      </c>
    </row>
    <row r="8" spans="1:15" x14ac:dyDescent="0.3">
      <c r="A8" t="s">
        <v>52</v>
      </c>
      <c r="B8">
        <v>5.8011899999999986E-3</v>
      </c>
      <c r="C8">
        <v>8.9</v>
      </c>
      <c r="D8">
        <v>93.574697132825548</v>
      </c>
      <c r="E8">
        <v>19.7</v>
      </c>
      <c r="F8">
        <v>35.9</v>
      </c>
      <c r="G8">
        <v>6.9</v>
      </c>
      <c r="H8">
        <v>27.49674972047093</v>
      </c>
      <c r="I8">
        <f>(B8 - MIN($B$2:$B$49)) / (MAX($B$2:$B$49) - MIN($B$2:$B$49))</f>
        <v>4.9849065320990232E-2</v>
      </c>
      <c r="L8">
        <f>(E8 - MIN($E$2:$E$49)) / (MAX($E$2:$E$49) - MIN($E$2:$E$49))</f>
        <v>2.6932826362484154E-2</v>
      </c>
      <c r="M8">
        <f>(F8 - MIN($F$2:$F$49)) / (MAX($F$2:$F$49) - MIN($F$2:$F$49))</f>
        <v>9.1856744762101334E-3</v>
      </c>
      <c r="N8">
        <f>(G8 - MIN($G$2:$G$49)) / (MAX($G$2:$G$49) - MIN($G$2:$G$49))</f>
        <v>0.10526315789473691</v>
      </c>
      <c r="O8">
        <f>AVERAGE(I8:N8)</f>
        <v>4.7807681013605358E-2</v>
      </c>
    </row>
    <row r="9" spans="1:15" x14ac:dyDescent="0.3">
      <c r="A9" t="s">
        <v>55</v>
      </c>
      <c r="B9">
        <v>5.4084749999999994E-3</v>
      </c>
      <c r="C9">
        <v>9.15</v>
      </c>
      <c r="D9">
        <v>93.78904357059848</v>
      </c>
      <c r="E9">
        <v>18.95</v>
      </c>
      <c r="F9">
        <v>31.15</v>
      </c>
      <c r="G9">
        <v>7.1</v>
      </c>
      <c r="H9">
        <v>26.690742007599749</v>
      </c>
      <c r="I9">
        <f>(B9 - MIN($B$2:$B$49)) / (MAX($B$2:$B$49) - MIN($B$2:$B$49))</f>
        <v>4.227963551320537E-2</v>
      </c>
      <c r="L9">
        <f>(E9 - MIN($E$2:$E$49)) / (MAX($E$2:$E$49) - MIN($E$2:$E$49))</f>
        <v>2.4556400506970846E-2</v>
      </c>
      <c r="M9">
        <f>(F9 - MIN($F$2:$F$49)) / (MAX($F$2:$F$49) - MIN($F$2:$F$49))</f>
        <v>5.9173633329892986E-3</v>
      </c>
      <c r="N9">
        <f>(G9 - MIN($G$2:$G$49)) / (MAX($G$2:$G$49) - MIN($G$2:$G$49))</f>
        <v>0.12145748987854252</v>
      </c>
      <c r="O9">
        <f>AVERAGE(I9:N9)</f>
        <v>4.855272230792701E-2</v>
      </c>
    </row>
    <row r="10" spans="1:15" x14ac:dyDescent="0.3">
      <c r="A10" t="s">
        <v>12</v>
      </c>
      <c r="B10">
        <v>6.554555000000001E-3</v>
      </c>
      <c r="C10">
        <v>18.149999999999999</v>
      </c>
      <c r="D10">
        <v>94.587781310466312</v>
      </c>
      <c r="E10">
        <v>13.1</v>
      </c>
      <c r="F10">
        <v>43</v>
      </c>
      <c r="G10">
        <v>8.9</v>
      </c>
      <c r="H10">
        <v>29.624055977577719</v>
      </c>
      <c r="I10">
        <f>(B10 - MIN($B$2:$B$49)) / (MAX($B$2:$B$49) - MIN($B$2:$B$49))</f>
        <v>6.4369884457366175E-2</v>
      </c>
      <c r="L10">
        <f>(E10 - MIN($E$2:$E$49)) / (MAX($E$2:$E$49) - MIN($E$2:$E$49))</f>
        <v>6.0202788339670478E-3</v>
      </c>
      <c r="M10">
        <f>(F10 - MIN($F$2:$F$49)) / (MAX($F$2:$F$49) - MIN($F$2:$F$49))</f>
        <v>1.4070939553445487E-2</v>
      </c>
      <c r="N10">
        <f>(G10 - MIN($G$2:$G$49)) / (MAX($G$2:$G$49) - MIN($G$2:$G$49))</f>
        <v>0.2672064777327936</v>
      </c>
      <c r="O10">
        <f>AVERAGE(I10:N10)</f>
        <v>8.7916895144393076E-2</v>
      </c>
    </row>
    <row r="11" spans="1:15" x14ac:dyDescent="0.3">
      <c r="A11" t="s">
        <v>24</v>
      </c>
      <c r="B11">
        <v>5.1231949999999997E-3</v>
      </c>
      <c r="C11">
        <v>18.8</v>
      </c>
      <c r="D11">
        <v>94.587781310466312</v>
      </c>
      <c r="E11">
        <v>16.75</v>
      </c>
      <c r="F11">
        <v>32.9</v>
      </c>
      <c r="G11">
        <v>9.4</v>
      </c>
      <c r="H11">
        <v>28.74048408424439</v>
      </c>
      <c r="I11">
        <f>(B11 - MIN($B$2:$B$49)) / (MAX($B$2:$B$49) - MIN($B$2:$B$49))</f>
        <v>3.6780973797801403E-2</v>
      </c>
      <c r="L11">
        <f>(E11 - MIN($E$2:$E$49)) / (MAX($E$2:$E$49) - MIN($E$2:$E$49))</f>
        <v>1.758555133079848E-2</v>
      </c>
      <c r="M11">
        <f>(F11 - MIN($F$2:$F$49)) / (MAX($F$2:$F$49) - MIN($F$2:$F$49))</f>
        <v>7.1214779647022376E-3</v>
      </c>
      <c r="N11">
        <f>(G11 - MIN($G$2:$G$49)) / (MAX($G$2:$G$49) - MIN($G$2:$G$49))</f>
        <v>0.30769230769230776</v>
      </c>
      <c r="O11">
        <f>AVERAGE(I11:N11)</f>
        <v>9.2295077696402467E-2</v>
      </c>
    </row>
    <row r="12" spans="1:15" x14ac:dyDescent="0.3">
      <c r="A12" t="s">
        <v>26</v>
      </c>
      <c r="B12">
        <v>5.4513950000000004E-3</v>
      </c>
      <c r="C12">
        <v>18.3</v>
      </c>
      <c r="D12">
        <v>94.617070632347648</v>
      </c>
      <c r="E12">
        <v>15.6</v>
      </c>
      <c r="F12">
        <v>38.1</v>
      </c>
      <c r="G12">
        <v>9.4</v>
      </c>
      <c r="H12">
        <v>29.33708700455794</v>
      </c>
      <c r="I12">
        <f>(B12 - MIN($B$2:$B$49)) / (MAX($B$2:$B$49) - MIN($B$2:$B$49))</f>
        <v>4.3106901921033274E-2</v>
      </c>
      <c r="L12">
        <f>(E12 - MIN($E$2:$E$49)) / (MAX($E$2:$E$49) - MIN($E$2:$E$49))</f>
        <v>1.3941698352344741E-2</v>
      </c>
      <c r="M12">
        <f>(F12 - MIN($F$2:$F$49)) / (MAX($F$2:$F$49) - MIN($F$2:$F$49))</f>
        <v>1.0699418584649258E-2</v>
      </c>
      <c r="N12">
        <f>(G12 - MIN($G$2:$G$49)) / (MAX($G$2:$G$49) - MIN($G$2:$G$49))</f>
        <v>0.30769230769230776</v>
      </c>
      <c r="O12">
        <f>AVERAGE(I12:N12)</f>
        <v>9.3860081637583762E-2</v>
      </c>
    </row>
    <row r="13" spans="1:15" x14ac:dyDescent="0.3">
      <c r="A13" t="s">
        <v>43</v>
      </c>
      <c r="B13">
        <v>3.6611450000000002E-3</v>
      </c>
      <c r="C13">
        <v>19</v>
      </c>
      <c r="D13">
        <v>96.850165876516442</v>
      </c>
      <c r="E13">
        <v>12.7</v>
      </c>
      <c r="F13">
        <v>24.35</v>
      </c>
      <c r="G13">
        <v>10.199999999999999</v>
      </c>
      <c r="H13">
        <v>27.18397117025274</v>
      </c>
      <c r="I13">
        <f>(B13 - MIN($B$2:$B$49)) / (MAX($B$2:$B$49) - MIN($B$2:$B$49))</f>
        <v>8.600525252490214E-3</v>
      </c>
      <c r="L13">
        <f>(E13 - MIN($E$2:$E$49)) / (MAX($E$2:$E$49) - MIN($E$2:$E$49))</f>
        <v>4.7528517110266158E-3</v>
      </c>
      <c r="M13">
        <f>(F13 - MIN($F$2:$F$49)) / (MAX($F$2:$F$49) - MIN($F$2:$F$49))</f>
        <v>1.2385179069047377E-3</v>
      </c>
      <c r="N13">
        <f>(G13 - MIN($G$2:$G$49)) / (MAX($G$2:$G$49) - MIN($G$2:$G$49))</f>
        <v>0.37246963562753033</v>
      </c>
      <c r="O13">
        <f>AVERAGE(I13:N13)</f>
        <v>9.6765382624487972E-2</v>
      </c>
    </row>
    <row r="14" spans="1:15" x14ac:dyDescent="0.3">
      <c r="A14" t="s">
        <v>25</v>
      </c>
      <c r="B14">
        <v>3.2149349999999999E-3</v>
      </c>
      <c r="C14">
        <v>19.05</v>
      </c>
      <c r="D14">
        <v>97.57737367038068</v>
      </c>
      <c r="E14">
        <v>11.2</v>
      </c>
      <c r="F14">
        <v>22.55</v>
      </c>
      <c r="G14">
        <v>10.6</v>
      </c>
      <c r="H14">
        <v>26.83009810089678</v>
      </c>
      <c r="I14">
        <f>(B14 - MIN($B$2:$B$49)) / (MAX($B$2:$B$49) - MIN($B$2:$B$49))</f>
        <v>0</v>
      </c>
      <c r="L14">
        <f>(E14 - MIN($E$2:$E$49)) / (MAX($E$2:$E$49) - MIN($E$2:$E$49))</f>
        <v>0</v>
      </c>
      <c r="M14">
        <f>(F14 - MIN($F$2:$F$49)) / (MAX($F$2:$F$49) - MIN($F$2:$F$49))</f>
        <v>0</v>
      </c>
      <c r="N14">
        <f>(G14 - MIN($G$2:$G$49)) / (MAX($G$2:$G$49) - MIN($G$2:$G$49))</f>
        <v>0.40485829959514169</v>
      </c>
      <c r="O14">
        <f>AVERAGE(I14:N14)</f>
        <v>0.10121457489878542</v>
      </c>
    </row>
    <row r="15" spans="1:15" x14ac:dyDescent="0.3">
      <c r="A15" t="s">
        <v>39</v>
      </c>
      <c r="B15">
        <v>4.9872100000000006E-3</v>
      </c>
      <c r="C15">
        <v>18.850000000000001</v>
      </c>
      <c r="D15">
        <v>96.445140623347044</v>
      </c>
      <c r="E15">
        <v>16.3</v>
      </c>
      <c r="F15">
        <v>29.1</v>
      </c>
      <c r="G15">
        <v>10.75</v>
      </c>
      <c r="H15">
        <v>28.57502130555784</v>
      </c>
      <c r="I15">
        <f>(B15 - MIN($B$2:$B$49)) / (MAX($B$2:$B$49) - MIN($B$2:$B$49))</f>
        <v>3.4159915492384951E-2</v>
      </c>
      <c r="L15">
        <f>(E15 - MIN($E$2:$E$49)) / (MAX($E$2:$E$49) - MIN($E$2:$E$49))</f>
        <v>1.6159695817490497E-2</v>
      </c>
      <c r="M15">
        <f>(F15 - MIN($F$2:$F$49)) / (MAX($F$2:$F$49) - MIN($F$2:$F$49))</f>
        <v>4.5068290501255716E-3</v>
      </c>
      <c r="N15">
        <f>(G15 - MIN($G$2:$G$49)) / (MAX($G$2:$G$49) - MIN($G$2:$G$49))</f>
        <v>0.417004048582996</v>
      </c>
      <c r="O15">
        <f>AVERAGE(I15:N15)</f>
        <v>0.11795762223574925</v>
      </c>
    </row>
    <row r="16" spans="1:15" x14ac:dyDescent="0.3">
      <c r="A16" t="s">
        <v>51</v>
      </c>
      <c r="B16">
        <v>5.3092499999999997E-3</v>
      </c>
      <c r="C16">
        <v>19.350000000000001</v>
      </c>
      <c r="D16">
        <v>97.008744520279123</v>
      </c>
      <c r="E16">
        <v>18.95</v>
      </c>
      <c r="F16">
        <v>31.15</v>
      </c>
      <c r="G16">
        <v>11.05</v>
      </c>
      <c r="H16">
        <v>29.58567562837986</v>
      </c>
      <c r="I16">
        <f>(B16 - MIN($B$2:$B$49)) / (MAX($B$2:$B$49) - MIN($B$2:$B$49))</f>
        <v>4.0367111996972342E-2</v>
      </c>
      <c r="L16">
        <f>(E16 - MIN($E$2:$E$49)) / (MAX($E$2:$E$49) - MIN($E$2:$E$49))</f>
        <v>2.4556400506970846E-2</v>
      </c>
      <c r="M16">
        <f>(F16 - MIN($F$2:$F$49)) / (MAX($F$2:$F$49) - MIN($F$2:$F$49))</f>
        <v>5.9173633329892986E-3</v>
      </c>
      <c r="N16">
        <f>(G16 - MIN($G$2:$G$49)) / (MAX($G$2:$G$49) - MIN($G$2:$G$49))</f>
        <v>0.44129554655870457</v>
      </c>
      <c r="O16">
        <f>AVERAGE(I16:N16)</f>
        <v>0.12803410559890926</v>
      </c>
    </row>
    <row r="17" spans="1:15" x14ac:dyDescent="0.3">
      <c r="A17" t="s">
        <v>40</v>
      </c>
      <c r="B17">
        <v>5.80051E-3</v>
      </c>
      <c r="C17">
        <v>19.350000000000001</v>
      </c>
      <c r="D17">
        <v>96.950165876516422</v>
      </c>
      <c r="E17">
        <v>19.7</v>
      </c>
      <c r="F17">
        <v>35.9</v>
      </c>
      <c r="G17">
        <v>11.05</v>
      </c>
      <c r="H17">
        <v>30.492661064419401</v>
      </c>
      <c r="I17">
        <f>(B17 - MIN($B$2:$B$49)) / (MAX($B$2:$B$49) - MIN($B$2:$B$49))</f>
        <v>4.9835958583867176E-2</v>
      </c>
      <c r="L17">
        <f>(E17 - MIN($E$2:$E$49)) / (MAX($E$2:$E$49) - MIN($E$2:$E$49))</f>
        <v>2.6932826362484154E-2</v>
      </c>
      <c r="M17">
        <f>(F17 - MIN($F$2:$F$49)) / (MAX($F$2:$F$49) - MIN($F$2:$F$49))</f>
        <v>9.1856744762101334E-3</v>
      </c>
      <c r="N17">
        <f>(G17 - MIN($G$2:$G$49)) / (MAX($G$2:$G$49) - MIN($G$2:$G$49))</f>
        <v>0.44129554655870457</v>
      </c>
      <c r="O17">
        <f>AVERAGE(I17:N17)</f>
        <v>0.13181250149531651</v>
      </c>
    </row>
    <row r="18" spans="1:15" x14ac:dyDescent="0.3">
      <c r="A18" t="s">
        <v>45</v>
      </c>
      <c r="B18">
        <v>7.251394999999999E-3</v>
      </c>
      <c r="C18">
        <v>8.85</v>
      </c>
      <c r="D18">
        <v>91.726331283361546</v>
      </c>
      <c r="E18">
        <v>243.95</v>
      </c>
      <c r="F18">
        <v>299.89999999999998</v>
      </c>
      <c r="G18">
        <v>6.5</v>
      </c>
      <c r="H18">
        <v>108.4889304463936</v>
      </c>
      <c r="I18">
        <f>(B18 - MIN($B$2:$B$49)) / (MAX($B$2:$B$49) - MIN($B$2:$B$49))</f>
        <v>7.7801206070385279E-2</v>
      </c>
      <c r="L18">
        <f>(E18 - MIN($E$2:$E$49)) / (MAX($E$2:$E$49) - MIN($E$2:$E$49))</f>
        <v>0.73748415716096316</v>
      </c>
      <c r="M18">
        <f>(F18 - MIN($F$2:$F$49)) / (MAX($F$2:$F$49) - MIN($F$2:$F$49))</f>
        <v>0.19083496748890491</v>
      </c>
      <c r="N18">
        <f>(G18 - MIN($G$2:$G$49)) / (MAX($G$2:$G$49) - MIN($G$2:$G$49))</f>
        <v>7.2874493927125542E-2</v>
      </c>
      <c r="O18">
        <f>AVERAGE(I18:N18)</f>
        <v>0.26974870616184471</v>
      </c>
    </row>
    <row r="19" spans="1:15" x14ac:dyDescent="0.3">
      <c r="A19" t="s">
        <v>29</v>
      </c>
      <c r="B19">
        <v>6.9058350000000008E-3</v>
      </c>
      <c r="C19">
        <v>8.75</v>
      </c>
      <c r="D19">
        <v>91.845846068908813</v>
      </c>
      <c r="E19">
        <v>260.64999999999998</v>
      </c>
      <c r="F19">
        <v>291.45</v>
      </c>
      <c r="G19">
        <v>6.5</v>
      </c>
      <c r="H19">
        <v>109.8671253173181</v>
      </c>
      <c r="I19">
        <f>(B19 - MIN($B$2:$B$49)) / (MAX($B$2:$B$49) - MIN($B$2:$B$49))</f>
        <v>7.1140670658246377E-2</v>
      </c>
      <c r="L19">
        <f>(E19 - MIN($E$2:$E$49)) / (MAX($E$2:$E$49) - MIN($E$2:$E$49))</f>
        <v>0.79039923954372615</v>
      </c>
      <c r="M19">
        <f>(F19 - MIN($F$2:$F$49)) / (MAX($F$2:$F$49) - MIN($F$2:$F$49))</f>
        <v>0.18502081398149101</v>
      </c>
      <c r="N19">
        <f>(G19 - MIN($G$2:$G$49)) / (MAX($G$2:$G$49) - MIN($G$2:$G$49))</f>
        <v>7.2874493927125542E-2</v>
      </c>
      <c r="O19">
        <f>AVERAGE(I19:N19)</f>
        <v>0.27985880452764728</v>
      </c>
    </row>
    <row r="20" spans="1:15" x14ac:dyDescent="0.3">
      <c r="A20" t="s">
        <v>46</v>
      </c>
      <c r="B20">
        <v>1.0837195000000001E-2</v>
      </c>
      <c r="C20">
        <v>8.8000000000000007</v>
      </c>
      <c r="D20">
        <v>92.030044833959323</v>
      </c>
      <c r="E20">
        <v>239.5</v>
      </c>
      <c r="F20">
        <v>372.4</v>
      </c>
      <c r="G20">
        <v>6.55</v>
      </c>
      <c r="H20">
        <v>119.88181367149321</v>
      </c>
      <c r="I20">
        <f>(B20 - MIN($B$2:$B$49)) / (MAX($B$2:$B$49) - MIN($B$2:$B$49))</f>
        <v>0.14691611485857786</v>
      </c>
      <c r="L20">
        <f>(E20 - MIN($E$2:$E$49)) / (MAX($E$2:$E$49) - MIN($E$2:$E$49))</f>
        <v>0.72338403041825095</v>
      </c>
      <c r="M20">
        <f>(F20 - MIN($F$2:$F$49)) / (MAX($F$2:$F$49) - MIN($F$2:$F$49))</f>
        <v>0.24071971651701238</v>
      </c>
      <c r="N20">
        <f>(G20 - MIN($G$2:$G$49)) / (MAX($G$2:$G$49) - MIN($G$2:$G$49))</f>
        <v>7.6923076923076941E-2</v>
      </c>
      <c r="O20">
        <f>AVERAGE(I20:N20)</f>
        <v>0.29698573467922951</v>
      </c>
    </row>
    <row r="21" spans="1:15" x14ac:dyDescent="0.3">
      <c r="A21" t="s">
        <v>19</v>
      </c>
      <c r="B21">
        <v>1.7400255E-2</v>
      </c>
      <c r="C21">
        <v>8.85</v>
      </c>
      <c r="D21">
        <v>92.311752093755473</v>
      </c>
      <c r="E21">
        <v>232.3</v>
      </c>
      <c r="F21">
        <v>283.3</v>
      </c>
      <c r="G21">
        <v>6.5</v>
      </c>
      <c r="H21">
        <v>103.8798587247926</v>
      </c>
      <c r="I21">
        <f>(B21 - MIN($B$2:$B$49)) / (MAX($B$2:$B$49) - MIN($B$2:$B$49))</f>
        <v>0.27341655918660362</v>
      </c>
      <c r="L21">
        <f>(E21 - MIN($E$2:$E$49)) / (MAX($E$2:$E$49) - MIN($E$2:$E$49))</f>
        <v>0.70057034220532322</v>
      </c>
      <c r="M21">
        <f>(F21 - MIN($F$2:$F$49)) / (MAX($F$2:$F$49) - MIN($F$2:$F$49))</f>
        <v>0.17941308012522791</v>
      </c>
      <c r="N21">
        <f>(G21 - MIN($G$2:$G$49)) / (MAX($G$2:$G$49) - MIN($G$2:$G$49))</f>
        <v>7.2874493927125542E-2</v>
      </c>
      <c r="O21">
        <f>AVERAGE(I21:N21)</f>
        <v>0.30656861886107006</v>
      </c>
    </row>
    <row r="22" spans="1:15" x14ac:dyDescent="0.3">
      <c r="A22" t="s">
        <v>35</v>
      </c>
      <c r="B22">
        <v>1.7549035000000001E-2</v>
      </c>
      <c r="C22">
        <v>8.9</v>
      </c>
      <c r="D22">
        <v>92.269294076823485</v>
      </c>
      <c r="E22">
        <v>235.55</v>
      </c>
      <c r="F22">
        <v>283.05</v>
      </c>
      <c r="G22">
        <v>6.55</v>
      </c>
      <c r="H22">
        <v>104.38947385197061</v>
      </c>
      <c r="I22">
        <f>(B22 - MIN($B$2:$B$49)) / (MAX($B$2:$B$49) - MIN($B$2:$B$49))</f>
        <v>0.27628423617068176</v>
      </c>
      <c r="L22">
        <f>(E22 - MIN($E$2:$E$49)) / (MAX($E$2:$E$49) - MIN($E$2:$E$49))</f>
        <v>0.71086818757921422</v>
      </c>
      <c r="M22">
        <f>(F22 - MIN($F$2:$F$49)) / (MAX($F$2:$F$49) - MIN($F$2:$F$49))</f>
        <v>0.1792410637492689</v>
      </c>
      <c r="N22">
        <f>(G22 - MIN($G$2:$G$49)) / (MAX($G$2:$G$49) - MIN($G$2:$G$49))</f>
        <v>7.6923076923076941E-2</v>
      </c>
      <c r="O22">
        <f>AVERAGE(I22:N22)</f>
        <v>0.31082914110556042</v>
      </c>
    </row>
    <row r="23" spans="1:15" x14ac:dyDescent="0.3">
      <c r="A23" t="s">
        <v>54</v>
      </c>
      <c r="B23">
        <v>1.1040305E-2</v>
      </c>
      <c r="C23">
        <v>8.6999999999999993</v>
      </c>
      <c r="D23">
        <v>91.502601590203881</v>
      </c>
      <c r="E23">
        <v>253.95</v>
      </c>
      <c r="F23">
        <v>392.6</v>
      </c>
      <c r="G23">
        <v>6.45</v>
      </c>
      <c r="H23">
        <v>125.53560698253401</v>
      </c>
      <c r="I23">
        <f>(B23 - MIN($B$2:$B$49)) / (MAX($B$2:$B$49) - MIN($B$2:$B$49))</f>
        <v>0.1508309815895639</v>
      </c>
      <c r="L23">
        <f>(E23 - MIN($E$2:$E$49)) / (MAX($E$2:$E$49) - MIN($E$2:$E$49))</f>
        <v>0.76916983523447391</v>
      </c>
      <c r="M23">
        <f>(F23 - MIN($F$2:$F$49)) / (MAX($F$2:$F$49) - MIN($F$2:$F$49))</f>
        <v>0.25461863969449888</v>
      </c>
      <c r="N23">
        <f>(G23 - MIN($G$2:$G$49)) / (MAX($G$2:$G$49) - MIN($G$2:$G$49))</f>
        <v>6.8825910931174128E-2</v>
      </c>
      <c r="O23">
        <f>AVERAGE(I23:N23)</f>
        <v>0.3108613418624277</v>
      </c>
    </row>
    <row r="24" spans="1:15" x14ac:dyDescent="0.3">
      <c r="A24" t="s">
        <v>36</v>
      </c>
      <c r="B24">
        <v>1.9534744999999999E-2</v>
      </c>
      <c r="C24">
        <v>8.75</v>
      </c>
      <c r="D24">
        <v>92.147623160724308</v>
      </c>
      <c r="E24">
        <v>217.95</v>
      </c>
      <c r="F24">
        <v>321.10000000000002</v>
      </c>
      <c r="G24">
        <v>6.5</v>
      </c>
      <c r="H24">
        <v>107.7445263176207</v>
      </c>
      <c r="I24">
        <f>(B24 - MIN($B$2:$B$49)) / (MAX($B$2:$B$49) - MIN($B$2:$B$49))</f>
        <v>0.3145580287775761</v>
      </c>
      <c r="L24">
        <f>(E24 - MIN($E$2:$E$49)) / (MAX($E$2:$E$49) - MIN($E$2:$E$49))</f>
        <v>0.65510139416983515</v>
      </c>
      <c r="M24">
        <f>(F24 - MIN($F$2:$F$49)) / (MAX($F$2:$F$49) - MIN($F$2:$F$49))</f>
        <v>0.2054219561702274</v>
      </c>
      <c r="N24">
        <f>(G24 - MIN($G$2:$G$49)) / (MAX($G$2:$G$49) - MIN($G$2:$G$49))</f>
        <v>7.2874493927125542E-2</v>
      </c>
      <c r="O24">
        <f>AVERAGE(I24:N24)</f>
        <v>0.31198896826119105</v>
      </c>
    </row>
    <row r="25" spans="1:15" x14ac:dyDescent="0.3">
      <c r="A25" t="s">
        <v>49</v>
      </c>
      <c r="B25">
        <v>1.8902585E-2</v>
      </c>
      <c r="C25">
        <v>8.6999999999999993</v>
      </c>
      <c r="D25">
        <v>91.486138473105072</v>
      </c>
      <c r="E25">
        <v>224.15</v>
      </c>
      <c r="F25">
        <v>316.3</v>
      </c>
      <c r="G25">
        <v>6.45</v>
      </c>
      <c r="H25">
        <v>107.8508401763509</v>
      </c>
      <c r="I25">
        <f>(B25 - MIN($B$2:$B$49)) / (MAX($B$2:$B$49) - MIN($B$2:$B$49))</f>
        <v>0.30237338916032369</v>
      </c>
      <c r="L25">
        <f>(E25 - MIN($E$2:$E$49)) / (MAX($E$2:$E$49) - MIN($E$2:$E$49))</f>
        <v>0.6747465145754119</v>
      </c>
      <c r="M25">
        <f>(F25 - MIN($F$2:$F$49)) / (MAX($F$2:$F$49) - MIN($F$2:$F$49))</f>
        <v>0.20211924175181475</v>
      </c>
      <c r="N25">
        <f>(G25 - MIN($G$2:$G$49)) / (MAX($G$2:$G$49) - MIN($G$2:$G$49))</f>
        <v>6.8825910931174128E-2</v>
      </c>
      <c r="O25">
        <f>AVERAGE(I25:N25)</f>
        <v>0.31201626410468114</v>
      </c>
    </row>
    <row r="26" spans="1:15" x14ac:dyDescent="0.3">
      <c r="A26" t="s">
        <v>32</v>
      </c>
      <c r="B26">
        <v>7.5263349999999986E-3</v>
      </c>
      <c r="C26">
        <v>9.6</v>
      </c>
      <c r="D26">
        <v>92.172109572463484</v>
      </c>
      <c r="E26">
        <v>235.25</v>
      </c>
      <c r="F26">
        <v>850.55</v>
      </c>
      <c r="G26">
        <v>7.25</v>
      </c>
      <c r="H26">
        <v>199.13827265124391</v>
      </c>
      <c r="I26">
        <f>(B26 - MIN($B$2:$B$49)) / (MAX($B$2:$B$49) - MIN($B$2:$B$49))</f>
        <v>8.3100568283064627E-2</v>
      </c>
      <c r="L26">
        <f>(E26 - MIN($E$2:$E$49)) / (MAX($E$2:$E$49) - MIN($E$2:$E$49))</f>
        <v>0.70991761723700886</v>
      </c>
      <c r="M26">
        <f>(F26 - MIN($F$2:$F$49)) / (MAX($F$2:$F$49) - MIN($F$2:$F$49))</f>
        <v>0.56971823717617909</v>
      </c>
      <c r="N26">
        <f>(G26 - MIN($G$2:$G$49)) / (MAX($G$2:$G$49) - MIN($G$2:$G$49))</f>
        <v>0.1336032388663968</v>
      </c>
      <c r="O26">
        <f>AVERAGE(I26:N26)</f>
        <v>0.37408491539066235</v>
      </c>
    </row>
    <row r="27" spans="1:15" x14ac:dyDescent="0.3">
      <c r="A27" t="s">
        <v>48</v>
      </c>
      <c r="B27">
        <v>7.883585000000002E-3</v>
      </c>
      <c r="C27">
        <v>9.65</v>
      </c>
      <c r="D27">
        <v>92.248238363025749</v>
      </c>
      <c r="E27">
        <v>237.25</v>
      </c>
      <c r="F27">
        <v>859.2</v>
      </c>
      <c r="G27">
        <v>7.35</v>
      </c>
      <c r="H27">
        <v>200.95102032467091</v>
      </c>
      <c r="I27">
        <f>(B27 - MIN($B$2:$B$49)) / (MAX($B$2:$B$49) - MIN($B$2:$B$49))</f>
        <v>8.9986423926040268E-2</v>
      </c>
      <c r="L27">
        <f>(E27 - MIN($E$2:$E$49)) / (MAX($E$2:$E$49) - MIN($E$2:$E$49))</f>
        <v>0.71625475285171103</v>
      </c>
      <c r="M27">
        <f>(F27 - MIN($F$2:$F$49)) / (MAX($F$2:$F$49) - MIN($F$2:$F$49))</f>
        <v>0.57567000378436028</v>
      </c>
      <c r="N27">
        <f>(G27 - MIN($G$2:$G$49)) / (MAX($G$2:$G$49) - MIN($G$2:$G$49))</f>
        <v>0.1417004048582996</v>
      </c>
      <c r="O27">
        <f>AVERAGE(I27:N27)</f>
        <v>0.38090289635510277</v>
      </c>
    </row>
    <row r="28" spans="1:15" x14ac:dyDescent="0.3">
      <c r="A28" t="s">
        <v>30</v>
      </c>
      <c r="B28">
        <v>6.9136000000000006E-3</v>
      </c>
      <c r="C28">
        <v>80.3</v>
      </c>
      <c r="D28">
        <v>96.945497757093875</v>
      </c>
      <c r="E28">
        <v>243.95</v>
      </c>
      <c r="F28">
        <v>299.89999999999998</v>
      </c>
      <c r="G28">
        <v>13</v>
      </c>
      <c r="H28">
        <v>122.35040189284901</v>
      </c>
      <c r="I28">
        <f>(B28 - MIN($B$2:$B$49)) / (MAX($B$2:$B$49) - MIN($B$2:$B$49))</f>
        <v>7.1290338031423997E-2</v>
      </c>
      <c r="L28">
        <f>(E28 - MIN($E$2:$E$49)) / (MAX($E$2:$E$49) - MIN($E$2:$E$49))</f>
        <v>0.73748415716096316</v>
      </c>
      <c r="M28">
        <f>(F28 - MIN($F$2:$F$49)) / (MAX($F$2:$F$49) - MIN($F$2:$F$49))</f>
        <v>0.19083496748890491</v>
      </c>
      <c r="N28">
        <f>(G28 - MIN($G$2:$G$49)) / (MAX($G$2:$G$49) - MIN($G$2:$G$49))</f>
        <v>0.59919028340080971</v>
      </c>
      <c r="O28">
        <f>AVERAGE(I28:N28)</f>
        <v>0.39969993652052549</v>
      </c>
    </row>
    <row r="29" spans="1:15" x14ac:dyDescent="0.3">
      <c r="A29" t="s">
        <v>34</v>
      </c>
      <c r="B29">
        <v>6.8632399999999996E-3</v>
      </c>
      <c r="C29">
        <v>8.35</v>
      </c>
      <c r="D29">
        <v>90.423523671867954</v>
      </c>
      <c r="E29">
        <v>262.45</v>
      </c>
      <c r="F29">
        <v>1026.55</v>
      </c>
      <c r="G29">
        <v>6.3</v>
      </c>
      <c r="H29">
        <v>232.34673115197799</v>
      </c>
      <c r="I29">
        <f>(B29 - MIN($B$2:$B$49)) / (MAX($B$2:$B$49) - MIN($B$2:$B$49))</f>
        <v>7.0319668499778776E-2</v>
      </c>
      <c r="L29">
        <f>(E29 - MIN($E$2:$E$49)) / (MAX($E$2:$E$49) - MIN($E$2:$E$49))</f>
        <v>0.79610266159695808</v>
      </c>
      <c r="M29">
        <f>(F29 - MIN($F$2:$F$49)) / (MAX($F$2:$F$49) - MIN($F$2:$F$49))</f>
        <v>0.69081776585130894</v>
      </c>
      <c r="N29">
        <f>(G29 - MIN($G$2:$G$49)) / (MAX($G$2:$G$49) - MIN($G$2:$G$49))</f>
        <v>5.6680161943319853E-2</v>
      </c>
      <c r="O29">
        <f>AVERAGE(I29:N29)</f>
        <v>0.4034800644728414</v>
      </c>
    </row>
    <row r="30" spans="1:15" x14ac:dyDescent="0.3">
      <c r="A30" t="s">
        <v>15</v>
      </c>
      <c r="B30">
        <v>6.7419400000000001E-3</v>
      </c>
      <c r="C30">
        <v>80.25</v>
      </c>
      <c r="D30">
        <v>97.040472503924448</v>
      </c>
      <c r="E30">
        <v>260.64999999999998</v>
      </c>
      <c r="F30">
        <v>291.45</v>
      </c>
      <c r="G30">
        <v>13.6</v>
      </c>
      <c r="H30">
        <v>123.8328690739874</v>
      </c>
      <c r="I30">
        <f>(B30 - MIN($B$2:$B$49)) / (MAX($B$2:$B$49) - MIN($B$2:$B$49))</f>
        <v>6.7981657892380781E-2</v>
      </c>
      <c r="L30">
        <f>(E30 - MIN($E$2:$E$49)) / (MAX($E$2:$E$49) - MIN($E$2:$E$49))</f>
        <v>0.79039923954372615</v>
      </c>
      <c r="M30">
        <f>(F30 - MIN($F$2:$F$49)) / (MAX($F$2:$F$49) - MIN($F$2:$F$49))</f>
        <v>0.18502081398149101</v>
      </c>
      <c r="N30">
        <f>(G30 - MIN($G$2:$G$49)) / (MAX($G$2:$G$49) - MIN($G$2:$G$49))</f>
        <v>0.64777327935222673</v>
      </c>
      <c r="O30">
        <f>AVERAGE(I30:N30)</f>
        <v>0.42279374769245615</v>
      </c>
    </row>
    <row r="31" spans="1:15" x14ac:dyDescent="0.3">
      <c r="A31" t="s">
        <v>37</v>
      </c>
      <c r="B31">
        <v>1.8611095000000001E-2</v>
      </c>
      <c r="C31">
        <v>81.400000000000006</v>
      </c>
      <c r="D31">
        <v>96.720014357499934</v>
      </c>
      <c r="E31">
        <v>224.15</v>
      </c>
      <c r="F31">
        <v>316.3</v>
      </c>
      <c r="G31">
        <v>12.55</v>
      </c>
      <c r="H31">
        <v>121.85643757541661</v>
      </c>
      <c r="I31">
        <f>(B31 - MIN($B$2:$B$49)) / (MAX($B$2:$B$49) - MIN($B$2:$B$49))</f>
        <v>0.29675503209560444</v>
      </c>
      <c r="L31">
        <f>(E31 - MIN($E$2:$E$49)) / (MAX($E$2:$E$49) - MIN($E$2:$E$49))</f>
        <v>0.6747465145754119</v>
      </c>
      <c r="M31">
        <f>(F31 - MIN($F$2:$F$49)) / (MAX($F$2:$F$49) - MIN($F$2:$F$49))</f>
        <v>0.20211924175181475</v>
      </c>
      <c r="N31">
        <f>(G31 - MIN($G$2:$G$49)) / (MAX($G$2:$G$49) - MIN($G$2:$G$49))</f>
        <v>0.56275303643724706</v>
      </c>
      <c r="O31">
        <f>AVERAGE(I31:N31)</f>
        <v>0.43409345621501955</v>
      </c>
    </row>
    <row r="32" spans="1:15" x14ac:dyDescent="0.3">
      <c r="A32" t="s">
        <v>47</v>
      </c>
      <c r="B32">
        <v>1.0790825E-2</v>
      </c>
      <c r="C32">
        <v>81</v>
      </c>
      <c r="D32">
        <v>96.817070632347651</v>
      </c>
      <c r="E32">
        <v>253.95</v>
      </c>
      <c r="F32">
        <v>392.6</v>
      </c>
      <c r="G32">
        <v>13.25</v>
      </c>
      <c r="H32">
        <v>139.60464357622459</v>
      </c>
      <c r="I32">
        <f>(B32 - MIN($B$2:$B$49)) / (MAX($B$2:$B$49) - MIN($B$2:$B$49))</f>
        <v>0.1460223510344637</v>
      </c>
      <c r="L32">
        <f>(E32 - MIN($E$2:$E$49)) / (MAX($E$2:$E$49) - MIN($E$2:$E$49))</f>
        <v>0.76916983523447391</v>
      </c>
      <c r="M32">
        <f>(F32 - MIN($F$2:$F$49)) / (MAX($F$2:$F$49) - MIN($F$2:$F$49))</f>
        <v>0.25461863969449888</v>
      </c>
      <c r="N32">
        <f>(G32 - MIN($G$2:$G$49)) / (MAX($G$2:$G$49) - MIN($G$2:$G$49))</f>
        <v>0.61943319838056687</v>
      </c>
      <c r="O32">
        <f>AVERAGE(I32:N32)</f>
        <v>0.44731100608600083</v>
      </c>
    </row>
    <row r="33" spans="1:15" x14ac:dyDescent="0.3">
      <c r="A33" t="s">
        <v>17</v>
      </c>
      <c r="B33">
        <v>6.4236149999999988E-3</v>
      </c>
      <c r="C33">
        <v>8.15</v>
      </c>
      <c r="D33">
        <v>90.231304048369793</v>
      </c>
      <c r="E33">
        <v>326.8</v>
      </c>
      <c r="F33">
        <v>1056.7</v>
      </c>
      <c r="G33">
        <v>6.05</v>
      </c>
      <c r="H33">
        <v>247.98962127722831</v>
      </c>
      <c r="I33">
        <f>(B33 - MIN($B$2:$B$49)) / (MAX($B$2:$B$49) - MIN($B$2:$B$49))</f>
        <v>6.1846066576634932E-2</v>
      </c>
      <c r="L33">
        <f>(E33 - MIN($E$2:$E$49)) / (MAX($E$2:$E$49) - MIN($E$2:$E$49))</f>
        <v>1</v>
      </c>
      <c r="M33">
        <f>(F33 - MIN($F$2:$F$49)) / (MAX($F$2:$F$49) - MIN($F$2:$F$49))</f>
        <v>0.71156294079196336</v>
      </c>
      <c r="N33">
        <f>(G33 - MIN($G$2:$G$49)) / (MAX($G$2:$G$49) - MIN($G$2:$G$49))</f>
        <v>3.6437246963562771E-2</v>
      </c>
      <c r="O33">
        <f>AVERAGE(I33:N33)</f>
        <v>0.45246156358304024</v>
      </c>
    </row>
    <row r="34" spans="1:15" x14ac:dyDescent="0.3">
      <c r="A34" t="s">
        <v>20</v>
      </c>
      <c r="B34">
        <v>1.7088590000000001E-2</v>
      </c>
      <c r="C34">
        <v>82.05</v>
      </c>
      <c r="D34">
        <v>97.722095885517064</v>
      </c>
      <c r="E34">
        <v>235.55</v>
      </c>
      <c r="F34">
        <v>283.05</v>
      </c>
      <c r="G34">
        <v>13.95</v>
      </c>
      <c r="H34">
        <v>118.7231974125862</v>
      </c>
      <c r="I34">
        <f>(B34 - MIN($B$2:$B$49)) / (MAX($B$2:$B$49) - MIN($B$2:$B$49))</f>
        <v>0.26740933679621043</v>
      </c>
      <c r="L34">
        <f>(E34 - MIN($E$2:$E$49)) / (MAX($E$2:$E$49) - MIN($E$2:$E$49))</f>
        <v>0.71086818757921422</v>
      </c>
      <c r="M34">
        <f>(F34 - MIN($F$2:$F$49)) / (MAX($F$2:$F$49) - MIN($F$2:$F$49))</f>
        <v>0.1792410637492689</v>
      </c>
      <c r="N34">
        <f>(G34 - MIN($G$2:$G$49)) / (MAX($G$2:$G$49) - MIN($G$2:$G$49))</f>
        <v>0.67611336032388658</v>
      </c>
      <c r="O34">
        <f>AVERAGE(I34:N34)</f>
        <v>0.45840798711214503</v>
      </c>
    </row>
    <row r="35" spans="1:15" x14ac:dyDescent="0.3">
      <c r="A35" t="s">
        <v>10</v>
      </c>
      <c r="B35">
        <v>1.7129044999999999E-2</v>
      </c>
      <c r="C35">
        <v>82.05</v>
      </c>
      <c r="D35">
        <v>97.59783181680514</v>
      </c>
      <c r="E35">
        <v>232.3</v>
      </c>
      <c r="F35">
        <v>283.3</v>
      </c>
      <c r="G35">
        <v>15.25</v>
      </c>
      <c r="H35">
        <v>118.4191601436342</v>
      </c>
      <c r="I35">
        <f>(B35 - MIN($B$2:$B$49)) / (MAX($B$2:$B$49) - MIN($B$2:$B$49))</f>
        <v>0.26818909128196705</v>
      </c>
      <c r="L35">
        <f>(E35 - MIN($E$2:$E$49)) / (MAX($E$2:$E$49) - MIN($E$2:$E$49))</f>
        <v>0.70057034220532322</v>
      </c>
      <c r="M35">
        <f>(F35 - MIN($F$2:$F$49)) / (MAX($F$2:$F$49) - MIN($F$2:$F$49))</f>
        <v>0.17941308012522791</v>
      </c>
      <c r="N35">
        <f>(G35 - MIN($G$2:$G$49)) / (MAX($G$2:$G$49) - MIN($G$2:$G$49))</f>
        <v>0.78137651821862353</v>
      </c>
      <c r="O35">
        <f>AVERAGE(I35:N35)</f>
        <v>0.48238725795778536</v>
      </c>
    </row>
    <row r="36" spans="1:15" x14ac:dyDescent="0.3">
      <c r="A36" t="s">
        <v>21</v>
      </c>
      <c r="B36">
        <v>1.916172E-2</v>
      </c>
      <c r="C36">
        <v>83.4</v>
      </c>
      <c r="D36">
        <v>97.767323164041812</v>
      </c>
      <c r="E36">
        <v>217.95</v>
      </c>
      <c r="F36">
        <v>321.10000000000002</v>
      </c>
      <c r="G36">
        <v>15.7</v>
      </c>
      <c r="H36">
        <v>122.656080814007</v>
      </c>
      <c r="I36">
        <f>(B36 - MIN($B$2:$B$49)) / (MAX($B$2:$B$49) - MIN($B$2:$B$49))</f>
        <v>0.30736811610795833</v>
      </c>
      <c r="L36">
        <f>(E36 - MIN($E$2:$E$49)) / (MAX($E$2:$E$49) - MIN($E$2:$E$49))</f>
        <v>0.65510139416983515</v>
      </c>
      <c r="M36">
        <f>(F36 - MIN($F$2:$F$49)) / (MAX($F$2:$F$49) - MIN($F$2:$F$49))</f>
        <v>0.2054219561702274</v>
      </c>
      <c r="N36">
        <f>(G36 - MIN($G$2:$G$49)) / (MAX($G$2:$G$49) - MIN($G$2:$G$49))</f>
        <v>0.81781376518218618</v>
      </c>
      <c r="O36">
        <f>AVERAGE(I36:N36)</f>
        <v>0.49642630790755177</v>
      </c>
    </row>
    <row r="37" spans="1:15" x14ac:dyDescent="0.3">
      <c r="A37" t="s">
        <v>31</v>
      </c>
      <c r="B37">
        <v>1.056152E-2</v>
      </c>
      <c r="C37">
        <v>82.5</v>
      </c>
      <c r="D37">
        <v>97.488643507601481</v>
      </c>
      <c r="E37">
        <v>239.5</v>
      </c>
      <c r="F37">
        <v>372.4</v>
      </c>
      <c r="G37">
        <v>16.600000000000001</v>
      </c>
      <c r="H37">
        <v>134.74986750460019</v>
      </c>
      <c r="I37">
        <f>(B37 - MIN($B$2:$B$49)) / (MAX($B$2:$B$49) - MIN($B$2:$B$49))</f>
        <v>0.14160258580503748</v>
      </c>
      <c r="L37">
        <f>(E37 - MIN($E$2:$E$49)) / (MAX($E$2:$E$49) - MIN($E$2:$E$49))</f>
        <v>0.72338403041825095</v>
      </c>
      <c r="M37">
        <f>(F37 - MIN($F$2:$F$49)) / (MAX($F$2:$F$49) - MIN($F$2:$F$49))</f>
        <v>0.24071971651701238</v>
      </c>
      <c r="N37">
        <f>(G37 - MIN($G$2:$G$49)) / (MAX($G$2:$G$49) - MIN($G$2:$G$49))</f>
        <v>0.89068825910931193</v>
      </c>
      <c r="O37">
        <f>AVERAGE(I37:N37)</f>
        <v>0.49909864796240316</v>
      </c>
    </row>
    <row r="38" spans="1:15" x14ac:dyDescent="0.3">
      <c r="A38" t="s">
        <v>22</v>
      </c>
      <c r="B38">
        <v>3.3097385E-2</v>
      </c>
      <c r="C38">
        <v>8.4499999999999993</v>
      </c>
      <c r="D38">
        <v>89.821261630625287</v>
      </c>
      <c r="E38">
        <v>252.35</v>
      </c>
      <c r="F38">
        <v>899</v>
      </c>
      <c r="G38">
        <v>6.3</v>
      </c>
      <c r="H38">
        <v>209.3257265026042</v>
      </c>
      <c r="I38">
        <f>(B38 - MIN($B$2:$B$49)) / (MAX($B$2:$B$49) - MIN($B$2:$B$49))</f>
        <v>0.57597267168211386</v>
      </c>
      <c r="L38">
        <f>(E38 - MIN($E$2:$E$49)) / (MAX($E$2:$E$49) - MIN($E$2:$E$49))</f>
        <v>0.76410012674271222</v>
      </c>
      <c r="M38">
        <f>(F38 - MIN($F$2:$F$49)) / (MAX($F$2:$F$49) - MIN($F$2:$F$49))</f>
        <v>0.60305501083703161</v>
      </c>
      <c r="N38">
        <f>(G38 - MIN($G$2:$G$49)) / (MAX($G$2:$G$49) - MIN($G$2:$G$49))</f>
        <v>5.6680161943319853E-2</v>
      </c>
      <c r="O38">
        <f>AVERAGE(I38:N38)</f>
        <v>0.49995199280129438</v>
      </c>
    </row>
    <row r="39" spans="1:15" x14ac:dyDescent="0.3">
      <c r="A39" t="s">
        <v>38</v>
      </c>
      <c r="B39">
        <v>3.1746574999999999E-2</v>
      </c>
      <c r="C39">
        <v>8.5</v>
      </c>
      <c r="D39">
        <v>90.010277852987244</v>
      </c>
      <c r="E39">
        <v>270.85000000000002</v>
      </c>
      <c r="F39">
        <v>909.3</v>
      </c>
      <c r="G39">
        <v>6.35</v>
      </c>
      <c r="H39">
        <v>214.1736707379979</v>
      </c>
      <c r="I39">
        <f>(B39 - MIN($B$2:$B$49)) / (MAX($B$2:$B$49) - MIN($B$2:$B$49))</f>
        <v>0.5499363311332327</v>
      </c>
      <c r="L39">
        <f>(E39 - MIN($E$2:$E$49)) / (MAX($E$2:$E$49) - MIN($E$2:$E$49))</f>
        <v>0.82271863117870725</v>
      </c>
      <c r="M39">
        <f>(F39 - MIN($F$2:$F$49)) / (MAX($F$2:$F$49) - MIN($F$2:$F$49))</f>
        <v>0.61014208552654203</v>
      </c>
      <c r="N39">
        <f>(G39 - MIN($G$2:$G$49)) / (MAX($G$2:$G$49) - MIN($G$2:$G$49))</f>
        <v>6.0728744939271259E-2</v>
      </c>
      <c r="O39">
        <f>AVERAGE(I39:N39)</f>
        <v>0.51088144819443826</v>
      </c>
    </row>
    <row r="40" spans="1:15" x14ac:dyDescent="0.3">
      <c r="A40" t="s">
        <v>18</v>
      </c>
      <c r="B40">
        <v>6.5567650000000009E-3</v>
      </c>
      <c r="C40">
        <v>78.75</v>
      </c>
      <c r="D40">
        <v>95.043416229076726</v>
      </c>
      <c r="E40">
        <v>262.45</v>
      </c>
      <c r="F40">
        <v>1026.55</v>
      </c>
      <c r="G40">
        <v>12.3</v>
      </c>
      <c r="H40">
        <v>245.84999549901269</v>
      </c>
      <c r="I40">
        <f>(B40 - MIN($B$2:$B$49)) / (MAX($B$2:$B$49) - MIN($B$2:$B$49))</f>
        <v>6.4412481353016207E-2</v>
      </c>
      <c r="L40">
        <f>(E40 - MIN($E$2:$E$49)) / (MAX($E$2:$E$49) - MIN($E$2:$E$49))</f>
        <v>0.79610266159695808</v>
      </c>
      <c r="M40">
        <f>(F40 - MIN($F$2:$F$49)) / (MAX($F$2:$F$49) - MIN($F$2:$F$49))</f>
        <v>0.69081776585130894</v>
      </c>
      <c r="N40">
        <f>(G40 - MIN($G$2:$G$49)) / (MAX($G$2:$G$49) - MIN($G$2:$G$49))</f>
        <v>0.54251012145749</v>
      </c>
      <c r="O40">
        <f>AVERAGE(I40:N40)</f>
        <v>0.52346075756469335</v>
      </c>
    </row>
    <row r="41" spans="1:15" x14ac:dyDescent="0.3">
      <c r="A41" t="s">
        <v>16</v>
      </c>
      <c r="B41">
        <v>7.2341700000000007E-3</v>
      </c>
      <c r="C41">
        <v>82.7</v>
      </c>
      <c r="D41">
        <v>97.398694013940286</v>
      </c>
      <c r="E41">
        <v>235.25</v>
      </c>
      <c r="F41">
        <v>850.55</v>
      </c>
      <c r="G41">
        <v>16.25</v>
      </c>
      <c r="H41">
        <v>213.69265469732341</v>
      </c>
      <c r="I41">
        <f>(B41 - MIN($B$2:$B$49)) / (MAX($B$2:$B$49) - MIN($B$2:$B$49))</f>
        <v>7.7469200854289447E-2</v>
      </c>
      <c r="L41">
        <f>(E41 - MIN($E$2:$E$49)) / (MAX($E$2:$E$49) - MIN($E$2:$E$49))</f>
        <v>0.70991761723700886</v>
      </c>
      <c r="M41">
        <f>(F41 - MIN($F$2:$F$49)) / (MAX($F$2:$F$49) - MIN($F$2:$F$49))</f>
        <v>0.56971823717617909</v>
      </c>
      <c r="N41">
        <f>(G41 - MIN($G$2:$G$49)) / (MAX($G$2:$G$49) - MIN($G$2:$G$49))</f>
        <v>0.86234817813765186</v>
      </c>
      <c r="O41">
        <f>AVERAGE(I41:N41)</f>
        <v>0.55486330835128239</v>
      </c>
    </row>
    <row r="42" spans="1:15" x14ac:dyDescent="0.3">
      <c r="A42" t="s">
        <v>33</v>
      </c>
      <c r="B42">
        <v>7.6174149999999998E-3</v>
      </c>
      <c r="C42">
        <v>82.9</v>
      </c>
      <c r="D42">
        <v>97.640115370177611</v>
      </c>
      <c r="E42">
        <v>237.25</v>
      </c>
      <c r="F42">
        <v>859.2</v>
      </c>
      <c r="G42">
        <v>16.350000000000001</v>
      </c>
      <c r="H42">
        <v>215.55795546419631</v>
      </c>
      <c r="I42">
        <f>(B42 - MIN($B$2:$B$49)) / (MAX($B$2:$B$49) - MIN($B$2:$B$49))</f>
        <v>8.4856100073021884E-2</v>
      </c>
      <c r="L42">
        <f>(E42 - MIN($E$2:$E$49)) / (MAX($E$2:$E$49) - MIN($E$2:$E$49))</f>
        <v>0.71625475285171103</v>
      </c>
      <c r="M42">
        <f>(F42 - MIN($F$2:$F$49)) / (MAX($F$2:$F$49) - MIN($F$2:$F$49))</f>
        <v>0.57567000378436028</v>
      </c>
      <c r="N42">
        <f>(G42 - MIN($G$2:$G$49)) / (MAX($G$2:$G$49) - MIN($G$2:$G$49))</f>
        <v>0.87044534412955488</v>
      </c>
      <c r="O42">
        <f>AVERAGE(I42:N42)</f>
        <v>0.56180655020966197</v>
      </c>
    </row>
    <row r="43" spans="1:15" x14ac:dyDescent="0.3">
      <c r="A43" t="s">
        <v>9</v>
      </c>
      <c r="B43">
        <v>6.1226000000000006E-3</v>
      </c>
      <c r="C43">
        <v>78.75</v>
      </c>
      <c r="D43">
        <v>95.126258941551356</v>
      </c>
      <c r="E43">
        <v>326.8</v>
      </c>
      <c r="F43">
        <v>1056.7</v>
      </c>
      <c r="G43">
        <v>12.65</v>
      </c>
      <c r="H43">
        <v>261.67206359025857</v>
      </c>
      <c r="I43">
        <f>(B43 - MIN($B$2:$B$49)) / (MAX($B$2:$B$49) - MIN($B$2:$B$49))</f>
        <v>5.604411881912541E-2</v>
      </c>
      <c r="L43">
        <f>(E43 - MIN($E$2:$E$49)) / (MAX($E$2:$E$49) - MIN($E$2:$E$49))</f>
        <v>1</v>
      </c>
      <c r="M43">
        <f>(F43 - MIN($F$2:$F$49)) / (MAX($F$2:$F$49) - MIN($F$2:$F$49))</f>
        <v>0.71156294079196336</v>
      </c>
      <c r="N43">
        <f>(G43 - MIN($G$2:$G$49)) / (MAX($G$2:$G$49) - MIN($G$2:$G$49))</f>
        <v>0.57085020242914986</v>
      </c>
      <c r="O43">
        <f>AVERAGE(I43:N43)</f>
        <v>0.58461431551005971</v>
      </c>
    </row>
    <row r="44" spans="1:15" x14ac:dyDescent="0.3">
      <c r="A44" t="s">
        <v>11</v>
      </c>
      <c r="B44">
        <v>3.2836200000000003E-2</v>
      </c>
      <c r="C44">
        <v>78.75</v>
      </c>
      <c r="D44">
        <v>94.587781310466312</v>
      </c>
      <c r="E44">
        <v>252.35</v>
      </c>
      <c r="F44">
        <v>899</v>
      </c>
      <c r="G44">
        <v>11.75</v>
      </c>
      <c r="H44">
        <v>222.74510291841099</v>
      </c>
      <c r="I44">
        <f>(B44 - MIN($B$2:$B$49)) / (MAX($B$2:$B$49) - MIN($B$2:$B$49))</f>
        <v>0.5709384317769759</v>
      </c>
      <c r="L44">
        <f>(E44 - MIN($E$2:$E$49)) / (MAX($E$2:$E$49) - MIN($E$2:$E$49))</f>
        <v>0.76410012674271222</v>
      </c>
      <c r="M44">
        <f>(F44 - MIN($F$2:$F$49)) / (MAX($F$2:$F$49) - MIN($F$2:$F$49))</f>
        <v>0.60305501083703161</v>
      </c>
      <c r="N44">
        <f>(G44 - MIN($G$2:$G$49)) / (MAX($G$2:$G$49) - MIN($G$2:$G$49))</f>
        <v>0.49797570850202433</v>
      </c>
      <c r="O44">
        <f>AVERAGE(I44:N44)</f>
        <v>0.60901731946468607</v>
      </c>
    </row>
    <row r="45" spans="1:15" x14ac:dyDescent="0.3">
      <c r="A45" t="s">
        <v>23</v>
      </c>
      <c r="B45">
        <v>3.1448524999999998E-2</v>
      </c>
      <c r="C45">
        <v>79.05</v>
      </c>
      <c r="D45">
        <v>94.763517241754386</v>
      </c>
      <c r="E45">
        <v>270.85000000000002</v>
      </c>
      <c r="F45">
        <v>909.3</v>
      </c>
      <c r="G45">
        <v>11.95</v>
      </c>
      <c r="H45">
        <v>227.6574942944591</v>
      </c>
      <c r="I45">
        <f>(B45 - MIN($B$2:$B$49)) / (MAX($B$2:$B$49) - MIN($B$2:$B$49))</f>
        <v>0.54419153260450237</v>
      </c>
      <c r="L45">
        <f>(E45 - MIN($E$2:$E$49)) / (MAX($E$2:$E$49) - MIN($E$2:$E$49))</f>
        <v>0.82271863117870725</v>
      </c>
      <c r="M45">
        <f>(F45 - MIN($F$2:$F$49)) / (MAX($F$2:$F$49) - MIN($F$2:$F$49))</f>
        <v>0.61014208552654203</v>
      </c>
      <c r="N45">
        <f>(G45 - MIN($G$2:$G$49)) / (MAX($G$2:$G$49) - MIN($G$2:$G$49))</f>
        <v>0.51417004048582993</v>
      </c>
      <c r="O45">
        <f>AVERAGE(I45:N45)</f>
        <v>0.62280557244889534</v>
      </c>
    </row>
    <row r="46" spans="1:15" x14ac:dyDescent="0.3">
      <c r="A46" t="s">
        <v>28</v>
      </c>
      <c r="B46">
        <v>5.2918845000000013E-2</v>
      </c>
      <c r="C46">
        <v>7.75</v>
      </c>
      <c r="D46">
        <v>90.452665812670659</v>
      </c>
      <c r="E46">
        <v>225.55</v>
      </c>
      <c r="F46">
        <v>1475.9</v>
      </c>
      <c r="G46">
        <v>5.7</v>
      </c>
      <c r="H46">
        <v>300.90093077627853</v>
      </c>
      <c r="I46">
        <f>(B46 - MIN($B$2:$B$49)) / (MAX($B$2:$B$49) - MIN($B$2:$B$49))</f>
        <v>0.95802365052890048</v>
      </c>
      <c r="L46">
        <f>(E46 - MIN($E$2:$E$49)) / (MAX($E$2:$E$49) - MIN($E$2:$E$49))</f>
        <v>0.67918250950570347</v>
      </c>
      <c r="M46">
        <f>(F46 - MIN($F$2:$F$49)) / (MAX($F$2:$F$49) - MIN($F$2:$F$49))</f>
        <v>1</v>
      </c>
      <c r="N46">
        <f>(G46 - MIN($G$2:$G$49)) / (MAX($G$2:$G$49) - MIN($G$2:$G$49))</f>
        <v>8.0971659919028775E-3</v>
      </c>
      <c r="O46">
        <f>AVERAGE(I46:N46)</f>
        <v>0.66132583150662672</v>
      </c>
    </row>
    <row r="47" spans="1:15" x14ac:dyDescent="0.3">
      <c r="A47" t="s">
        <v>13</v>
      </c>
      <c r="B47">
        <v>5.5096649999999997E-2</v>
      </c>
      <c r="C47">
        <v>7.6</v>
      </c>
      <c r="D47">
        <v>90.445927385177555</v>
      </c>
      <c r="E47">
        <v>263.25</v>
      </c>
      <c r="F47">
        <v>1440.25</v>
      </c>
      <c r="G47">
        <v>5.6</v>
      </c>
      <c r="H47">
        <v>301.20017067252962</v>
      </c>
      <c r="I47">
        <f>(B47 - MIN($B$2:$B$49)) / (MAX($B$2:$B$49) - MIN($B$2:$B$49))</f>
        <v>1</v>
      </c>
      <c r="L47">
        <f>(E47 - MIN($E$2:$E$49)) / (MAX($E$2:$E$49) - MIN($E$2:$E$49))</f>
        <v>0.79863751584283904</v>
      </c>
      <c r="M47">
        <f>(F47 - MIN($F$2:$F$49)) / (MAX($F$2:$F$49) - MIN($F$2:$F$49))</f>
        <v>0.97547046478824773</v>
      </c>
      <c r="N47">
        <f>(G47 - MIN($G$2:$G$49)) / (MAX($G$2:$G$49) - MIN($G$2:$G$49))</f>
        <v>0</v>
      </c>
      <c r="O47">
        <f>AVERAGE(I47:N47)</f>
        <v>0.69352699515777161</v>
      </c>
    </row>
    <row r="48" spans="1:15" x14ac:dyDescent="0.3">
      <c r="A48" t="s">
        <v>14</v>
      </c>
      <c r="B48">
        <v>5.2334375000000002E-2</v>
      </c>
      <c r="C48">
        <v>78.75</v>
      </c>
      <c r="D48">
        <v>94.587781310466312</v>
      </c>
      <c r="E48">
        <v>225.55</v>
      </c>
      <c r="F48">
        <v>1475.9</v>
      </c>
      <c r="G48">
        <v>14.15</v>
      </c>
      <c r="H48">
        <v>314.83168594757768</v>
      </c>
      <c r="I48">
        <f>(B48 - MIN($B$2:$B$49)) / (MAX($B$2:$B$49) - MIN($B$2:$B$49))</f>
        <v>0.94675821722547149</v>
      </c>
      <c r="L48">
        <f>(E48 - MIN($E$2:$E$49)) / (MAX($E$2:$E$49) - MIN($E$2:$E$49))</f>
        <v>0.67918250950570347</v>
      </c>
      <c r="M48">
        <f>(F48 - MIN($F$2:$F$49)) / (MAX($F$2:$F$49) - MIN($F$2:$F$49))</f>
        <v>1</v>
      </c>
      <c r="N48">
        <f>(G48 - MIN($G$2:$G$49)) / (MAX($G$2:$G$49) - MIN($G$2:$G$49))</f>
        <v>0.6923076923076924</v>
      </c>
      <c r="O48">
        <f>AVERAGE(I48:N48)</f>
        <v>0.82956210475971681</v>
      </c>
    </row>
    <row r="49" spans="1:15" x14ac:dyDescent="0.3">
      <c r="A49" t="s">
        <v>8</v>
      </c>
      <c r="B49">
        <v>5.4612429999999997E-2</v>
      </c>
      <c r="C49">
        <v>78.75</v>
      </c>
      <c r="D49">
        <v>94.587781310466312</v>
      </c>
      <c r="E49">
        <v>263.25</v>
      </c>
      <c r="F49">
        <v>1440.25</v>
      </c>
      <c r="G49">
        <v>17.95</v>
      </c>
      <c r="H49">
        <v>315.80706562341112</v>
      </c>
      <c r="I49">
        <f>(B49 - MIN($B$2:$B$49)) / (MAX($B$2:$B$49) - MIN($B$2:$B$49))</f>
        <v>0.99066684669155591</v>
      </c>
      <c r="L49">
        <f>(E49 - MIN($E$2:$E$49)) / (MAX($E$2:$E$49) - MIN($E$2:$E$49))</f>
        <v>0.79863751584283904</v>
      </c>
      <c r="M49">
        <f>(F49 - MIN($F$2:$F$49)) / (MAX($F$2:$F$49) - MIN($F$2:$F$49))</f>
        <v>0.97547046478824773</v>
      </c>
      <c r="N49">
        <f>(G49 - MIN($G$2:$G$49)) / (MAX($G$2:$G$49) - MIN($G$2:$G$49))</f>
        <v>1</v>
      </c>
      <c r="O49">
        <f>AVERAGE(I49:N49)</f>
        <v>0.94119370683066061</v>
      </c>
    </row>
  </sheetData>
  <autoFilter ref="A1:O49" xr:uid="{00000000-0001-0000-0000-000000000000}">
    <sortState xmlns:xlrd2="http://schemas.microsoft.com/office/spreadsheetml/2017/richdata2" ref="A2:O49">
      <sortCondition ref="O1:O49"/>
    </sortState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Tegar Subagdja</cp:lastModifiedBy>
  <dcterms:created xsi:type="dcterms:W3CDTF">2025-08-03T06:48:16Z</dcterms:created>
  <dcterms:modified xsi:type="dcterms:W3CDTF">2025-08-04T00:29:28Z</dcterms:modified>
</cp:coreProperties>
</file>