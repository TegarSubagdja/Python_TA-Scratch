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Excel\Rekap\"/>
    </mc:Choice>
  </mc:AlternateContent>
  <xr:revisionPtr revIDLastSave="0" documentId="13_ncr:1_{F0B7F1BB-7B1C-4BBE-9653-E74FBA8C5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Sheet1!$B$1:$J$65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" l="1"/>
  <c r="A45" i="1"/>
  <c r="A46" i="1"/>
  <c r="A9" i="1"/>
  <c r="A59" i="1"/>
  <c r="A60" i="1"/>
  <c r="A61" i="1"/>
  <c r="A25" i="1"/>
  <c r="A26" i="1"/>
  <c r="A27" i="1"/>
  <c r="A65" i="1"/>
  <c r="A47" i="1"/>
  <c r="A48" i="1"/>
  <c r="A28" i="1"/>
  <c r="A49" i="1"/>
  <c r="A62" i="1"/>
  <c r="A63" i="1"/>
  <c r="A10" i="1"/>
  <c r="A29" i="1"/>
  <c r="A50" i="1"/>
  <c r="A51" i="1"/>
  <c r="A11" i="1"/>
  <c r="A52" i="1"/>
  <c r="A12" i="1"/>
  <c r="A30" i="1"/>
  <c r="A31" i="1"/>
  <c r="A53" i="1"/>
  <c r="A2" i="1"/>
  <c r="A32" i="1"/>
  <c r="A33" i="1"/>
  <c r="A13" i="1"/>
  <c r="A14" i="1"/>
  <c r="A34" i="1"/>
  <c r="A15" i="1"/>
  <c r="A3" i="1"/>
  <c r="A54" i="1"/>
  <c r="A35" i="1"/>
  <c r="A36" i="1"/>
  <c r="A16" i="1"/>
  <c r="A37" i="1"/>
  <c r="A55" i="1"/>
  <c r="A38" i="1"/>
  <c r="A17" i="1"/>
  <c r="A64" i="1"/>
  <c r="A56" i="1"/>
  <c r="A57" i="1"/>
  <c r="A39" i="1"/>
  <c r="A40" i="1"/>
  <c r="A58" i="1"/>
  <c r="A18" i="1"/>
  <c r="A41" i="1"/>
  <c r="A19" i="1"/>
  <c r="A4" i="1"/>
  <c r="A42" i="1"/>
  <c r="A20" i="1"/>
  <c r="A43" i="1"/>
  <c r="A21" i="1"/>
  <c r="A22" i="1"/>
  <c r="A5" i="1"/>
  <c r="A6" i="1"/>
  <c r="A7" i="1"/>
  <c r="A23" i="1"/>
  <c r="A8" i="1"/>
  <c r="A24" i="1"/>
  <c r="G2" i="1"/>
  <c r="I2" i="1"/>
  <c r="H2" i="1"/>
  <c r="I4" i="1"/>
  <c r="I3" i="1"/>
  <c r="I5" i="1"/>
  <c r="I6" i="1"/>
  <c r="I7" i="1"/>
  <c r="I11" i="1"/>
  <c r="I10" i="1"/>
  <c r="I12" i="1"/>
  <c r="I9" i="1"/>
  <c r="I8" i="1"/>
  <c r="I16" i="1"/>
  <c r="I14" i="1"/>
  <c r="I13" i="1"/>
  <c r="I15" i="1"/>
  <c r="I17" i="1"/>
  <c r="I18" i="1"/>
  <c r="I19" i="1"/>
  <c r="I20" i="1"/>
  <c r="I21" i="1"/>
  <c r="I22" i="1"/>
  <c r="I24" i="1"/>
  <c r="I25" i="1"/>
  <c r="I23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H4" i="1"/>
  <c r="H3" i="1"/>
  <c r="H5" i="1"/>
  <c r="H6" i="1"/>
  <c r="H7" i="1"/>
  <c r="H11" i="1"/>
  <c r="H10" i="1"/>
  <c r="H12" i="1"/>
  <c r="H9" i="1"/>
  <c r="H8" i="1"/>
  <c r="H16" i="1"/>
  <c r="H14" i="1"/>
  <c r="H13" i="1"/>
  <c r="H15" i="1"/>
  <c r="H17" i="1"/>
  <c r="H18" i="1"/>
  <c r="H19" i="1"/>
  <c r="H20" i="1"/>
  <c r="H21" i="1"/>
  <c r="H22" i="1"/>
  <c r="H24" i="1"/>
  <c r="H25" i="1"/>
  <c r="H23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G4" i="1"/>
  <c r="G3" i="1"/>
  <c r="G5" i="1"/>
  <c r="G6" i="1"/>
  <c r="G7" i="1"/>
  <c r="G11" i="1"/>
  <c r="G10" i="1"/>
  <c r="G12" i="1"/>
  <c r="G9" i="1"/>
  <c r="G8" i="1"/>
  <c r="G16" i="1"/>
  <c r="G14" i="1"/>
  <c r="G13" i="1"/>
  <c r="G15" i="1"/>
  <c r="G17" i="1"/>
  <c r="G18" i="1"/>
  <c r="G19" i="1"/>
  <c r="G20" i="1"/>
  <c r="G21" i="1"/>
  <c r="G22" i="1"/>
  <c r="G24" i="1"/>
  <c r="G25" i="1"/>
  <c r="G23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F6" i="1"/>
  <c r="F3" i="1"/>
  <c r="F9" i="1"/>
  <c r="F5" i="1"/>
  <c r="F8" i="1"/>
  <c r="F17" i="1"/>
  <c r="F10" i="1"/>
  <c r="F4" i="1"/>
  <c r="F22" i="1"/>
  <c r="F12" i="1"/>
  <c r="F28" i="1"/>
  <c r="F15" i="1"/>
  <c r="F7" i="1"/>
  <c r="F14" i="1"/>
  <c r="F30" i="1"/>
  <c r="F20" i="1"/>
  <c r="F21" i="1"/>
  <c r="F11" i="1"/>
  <c r="F23" i="1"/>
  <c r="F19" i="1"/>
  <c r="F13" i="1"/>
  <c r="F16" i="1"/>
  <c r="F26" i="1"/>
  <c r="F29" i="1"/>
  <c r="F18" i="1"/>
  <c r="F32" i="1"/>
  <c r="F31" i="1"/>
  <c r="F25" i="1"/>
  <c r="F24" i="1"/>
  <c r="F27" i="1"/>
  <c r="F33" i="1"/>
  <c r="F34" i="1"/>
  <c r="F35" i="1"/>
  <c r="F36" i="1"/>
  <c r="F37" i="1"/>
  <c r="F42" i="1"/>
  <c r="F43" i="1"/>
  <c r="F40" i="1"/>
  <c r="F38" i="1"/>
  <c r="F45" i="1"/>
  <c r="F44" i="1"/>
  <c r="F46" i="1"/>
  <c r="F48" i="1"/>
  <c r="F41" i="1"/>
  <c r="F39" i="1"/>
  <c r="F47" i="1"/>
  <c r="F49" i="1"/>
  <c r="F50" i="1"/>
  <c r="F52" i="1"/>
  <c r="F54" i="1"/>
  <c r="F51" i="1"/>
  <c r="F56" i="1"/>
  <c r="F53" i="1"/>
  <c r="F55" i="1"/>
  <c r="F57" i="1"/>
  <c r="F58" i="1"/>
  <c r="F59" i="1"/>
  <c r="F60" i="1"/>
  <c r="F61" i="1"/>
  <c r="F62" i="1"/>
  <c r="F64" i="1"/>
  <c r="F63" i="1"/>
  <c r="F65" i="1"/>
  <c r="F2" i="1"/>
  <c r="J15" i="1" l="1"/>
  <c r="J65" i="1"/>
  <c r="J64" i="1"/>
  <c r="J25" i="1"/>
  <c r="J55" i="1"/>
  <c r="J39" i="1"/>
  <c r="J34" i="1"/>
  <c r="J35" i="1"/>
  <c r="J8" i="1"/>
  <c r="J52" i="1"/>
  <c r="J54" i="1"/>
  <c r="J14" i="1"/>
  <c r="J32" i="1"/>
  <c r="J13" i="1"/>
  <c r="J2" i="1"/>
  <c r="J47" i="1"/>
  <c r="J46" i="1"/>
  <c r="J62" i="1"/>
  <c r="J45" i="1"/>
  <c r="J23" i="1"/>
  <c r="J44" i="1"/>
  <c r="J7" i="1"/>
  <c r="J60" i="1"/>
  <c r="J40" i="1"/>
  <c r="J63" i="1"/>
  <c r="J43" i="1"/>
  <c r="J24" i="1"/>
  <c r="J6" i="1"/>
  <c r="J59" i="1"/>
  <c r="J42" i="1"/>
  <c r="J22" i="1"/>
  <c r="J5" i="1"/>
  <c r="J61" i="1"/>
  <c r="J41" i="1"/>
  <c r="J21" i="1"/>
  <c r="J3" i="1"/>
  <c r="J4" i="1"/>
  <c r="J19" i="1"/>
  <c r="J48" i="1"/>
  <c r="J28" i="1"/>
  <c r="J11" i="1"/>
  <c r="J9" i="1"/>
  <c r="J20" i="1"/>
  <c r="J27" i="1"/>
  <c r="J26" i="1"/>
  <c r="J51" i="1"/>
  <c r="J31" i="1"/>
  <c r="J50" i="1"/>
  <c r="J30" i="1"/>
  <c r="J12" i="1"/>
  <c r="J49" i="1"/>
  <c r="J29" i="1"/>
  <c r="J10" i="1"/>
  <c r="J58" i="1"/>
  <c r="J38" i="1"/>
  <c r="J18" i="1"/>
  <c r="J57" i="1"/>
  <c r="J37" i="1"/>
  <c r="J17" i="1"/>
  <c r="J53" i="1"/>
  <c r="J33" i="1"/>
  <c r="J56" i="1"/>
  <c r="J36" i="1"/>
  <c r="J16" i="1"/>
</calcChain>
</file>

<file path=xl/sharedStrings.xml><?xml version="1.0" encoding="utf-8"?>
<sst xmlns="http://schemas.openxmlformats.org/spreadsheetml/2006/main" count="74" uniqueCount="74">
  <si>
    <t>Kombinasi</t>
  </si>
  <si>
    <t>Waktu Pencarian</t>
  </si>
  <si>
    <t>Jumlah Close</t>
  </si>
  <si>
    <t>Jumlah Belok</t>
  </si>
  <si>
    <t>avg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</si>
  <si>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</si>
  <si>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</si>
  <si>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</si>
  <si>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</si>
  <si>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</si>
  <si>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</si>
  <si>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</si>
  <si>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</si>
  <si>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</si>
  <si>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</si>
  <si>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</si>
  <si>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</si>
  <si>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</si>
  <si>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</si>
  <si>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</si>
  <si>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</si>
  <si>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</si>
  <si>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</si>
  <si>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</si>
  <si>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</si>
  <si>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JPS-TPF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</si>
  <si>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</si>
  <si>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</si>
  <si>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</si>
  <si>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</si>
  <si>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</si>
  <si>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</si>
  <si>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</si>
  <si>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</si>
  <si>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</si>
  <si>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</si>
  <si>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</si>
  <si>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</si>
  <si>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</si>
  <si>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</si>
  <si>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JPS-BDS-TPF</t>
  </si>
  <si>
    <t>JPS-BRC-PPO</t>
  </si>
  <si>
    <t>JPS-BRC-TPF</t>
  </si>
  <si>
    <t>JPS-GL-BRC</t>
  </si>
  <si>
    <t>JPS-GL-PPO</t>
  </si>
  <si>
    <t>JPS-GL-TPF</t>
  </si>
  <si>
    <t>JPS-TPF-PPO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</si>
  <si>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</si>
  <si>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</si>
  <si>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</si>
  <si>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</si>
  <si>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</si>
  <si>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</si>
  <si>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JPS-BDS-BRC-TPF</t>
  </si>
  <si>
    <t>JPS-BDS-GL-BRC</t>
  </si>
  <si>
    <t>JPS-BDS-GL-PPO</t>
  </si>
  <si>
    <t>JPS-BDS-GL-TPF</t>
  </si>
  <si>
    <t>JPS-BDS-TPF-PPO</t>
  </si>
  <si>
    <t>JPS-BRC-TPF-PPO</t>
  </si>
  <si>
    <t>JPS-GL-BRC-PPO</t>
  </si>
  <si>
    <t>JPS-GL-BRC-TPF</t>
  </si>
  <si>
    <t>JPS-GL-TPF-PPO</t>
  </si>
  <si>
    <t>BDS-GL-BRC-TPF-PPO</t>
  </si>
  <si>
    <t>JPS-BDS-BRC-TPF-PPO</t>
  </si>
  <si>
    <t>JPS-BDS-GL-BRC-PPO</t>
  </si>
  <si>
    <t>JPS-BDS-GL-BRC-TPF</t>
  </si>
  <si>
    <t>JPS-BDS-GL-TPF-PPO</t>
  </si>
  <si>
    <t>JPS-GL-BRC-TPF-PPO</t>
  </si>
  <si>
    <t>JPS-BDS-GL-BRC-TPF-PPO</t>
  </si>
  <si>
    <t>x</t>
  </si>
  <si>
    <t>y</t>
  </si>
  <si>
    <t>z</t>
  </si>
  <si>
    <t>Avg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</si>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</sst>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workbookViewId="0">
      <selection activeCell="F7" sqref="F7"/>
    </sheetView>
  </sheetViews>
  <sheetFormatPr defaultRowHeight="14.4" x14ac:dyDescent="0.3"/>
  <cols>
    <col min="2" max="2" width="22.109375" bestFit="1" customWidth="1"/>
    <col min="3" max="3" width="15.44140625" bestFit="1" customWidth="1"/>
    <col min="4" max="4" width="11.88671875" bestFit="1" customWidth="1"/>
    <col min="5" max="5" width="12.109375" bestFit="1" customWidth="1"/>
    <col min="6" max="6" width="12" bestFit="1" customWidth="1"/>
  </cols>
  <sheetData>
    <row r="1" spans="1:10" x14ac:dyDescent="0.3">
      <c r="A1" s="2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69</v>
      </c>
      <c r="H1" s="3" t="s">
        <v>70</v>
      </c>
      <c r="I1" s="3" t="s">
        <v>71</v>
      </c>
      <c r="J1" s="2" t="s">
        <v>72</v>
      </c>
    </row>
    <row r="2" spans="1:10" x14ac:dyDescent="0.3">
      <c r="A2" s="2">
        <f t="shared" ref="A2:A33" si="0">LEN(B2)-LEN(SUBSTITUTE(B2,"-",""))+1</f>
        <v>3</v>
      </c>
      <c r="B2" s="2" t="s">
        <v>41</v>
      </c>
      <c r="C2" s="2">
        <v>2.9998849999999999E-3</v>
      </c>
      <c r="D2" s="2">
        <v>21.25</v>
      </c>
      <c r="E2" s="2">
        <v>7.1</v>
      </c>
      <c r="F2" s="2">
        <f>AVERAGE(C2:E2)</f>
        <v>9.4509999616666676</v>
      </c>
      <c r="G2" s="2">
        <f>0.5*C2</f>
        <v>1.4999424999999999E-3</v>
      </c>
      <c r="H2" s="2">
        <f>0.2*D2</f>
        <v>4.25</v>
      </c>
      <c r="I2" s="2">
        <f>0.3*E2</f>
        <v>2.13</v>
      </c>
      <c r="J2" s="2">
        <f>AVERAGE(G2:I2)</f>
        <v>2.1271666474999997</v>
      </c>
    </row>
    <row r="3" spans="1:10" x14ac:dyDescent="0.3">
      <c r="A3" s="2">
        <f t="shared" si="0"/>
        <v>4</v>
      </c>
      <c r="B3" s="2" t="s">
        <v>59</v>
      </c>
      <c r="C3" s="2">
        <v>3.3947049999999992E-3</v>
      </c>
      <c r="D3" s="2">
        <v>24.05</v>
      </c>
      <c r="E3" s="2">
        <v>7.2</v>
      </c>
      <c r="F3" s="2">
        <f>AVERAGE(C3:E3)</f>
        <v>10.417798235000001</v>
      </c>
      <c r="G3" s="2">
        <f>0.5*C3</f>
        <v>1.6973524999999996E-3</v>
      </c>
      <c r="H3" s="2">
        <f>0.2*D3</f>
        <v>4.8100000000000005</v>
      </c>
      <c r="I3" s="2">
        <f>0.3*E3</f>
        <v>2.16</v>
      </c>
      <c r="J3" s="2">
        <f>AVERAGE(G3:I3)</f>
        <v>2.3238991175000003</v>
      </c>
    </row>
    <row r="4" spans="1:10" x14ac:dyDescent="0.3">
      <c r="A4" s="2">
        <f t="shared" si="0"/>
        <v>2</v>
      </c>
      <c r="B4" s="2" t="s">
        <v>22</v>
      </c>
      <c r="C4" s="2">
        <v>2.99081E-3</v>
      </c>
      <c r="D4" s="2">
        <v>21.25</v>
      </c>
      <c r="E4" s="2">
        <v>10.4</v>
      </c>
      <c r="F4" s="2">
        <f>AVERAGE(C4:E4)</f>
        <v>10.550996936666666</v>
      </c>
      <c r="G4" s="2">
        <f>0.5*C4</f>
        <v>1.495405E-3</v>
      </c>
      <c r="H4" s="2">
        <f>0.2*D4</f>
        <v>4.25</v>
      </c>
      <c r="I4" s="2">
        <f>0.3*E4</f>
        <v>3.12</v>
      </c>
      <c r="J4" s="2">
        <f>AVERAGE(G4:I4)</f>
        <v>2.4571651349999999</v>
      </c>
    </row>
    <row r="5" spans="1:10" x14ac:dyDescent="0.3">
      <c r="A5" s="2">
        <f t="shared" si="0"/>
        <v>4</v>
      </c>
      <c r="B5" s="2" t="s">
        <v>52</v>
      </c>
      <c r="C5" s="2">
        <v>4.0722349999999996E-3</v>
      </c>
      <c r="D5" s="2">
        <v>24.75</v>
      </c>
      <c r="E5" s="2">
        <v>7.2</v>
      </c>
      <c r="F5" s="2">
        <f>AVERAGE(C5:E5)</f>
        <v>10.651357411666666</v>
      </c>
      <c r="G5" s="2">
        <f>0.5*C5</f>
        <v>2.0361174999999998E-3</v>
      </c>
      <c r="H5" s="2">
        <f>0.2*D5</f>
        <v>4.95</v>
      </c>
      <c r="I5" s="2">
        <f>0.3*E5</f>
        <v>2.16</v>
      </c>
      <c r="J5" s="2">
        <f>AVERAGE(G5:I5)</f>
        <v>2.3706787058333334</v>
      </c>
    </row>
    <row r="6" spans="1:10" x14ac:dyDescent="0.3">
      <c r="A6" s="2">
        <f t="shared" si="0"/>
        <v>4</v>
      </c>
      <c r="B6" s="2" t="s">
        <v>58</v>
      </c>
      <c r="C6" s="2">
        <v>4.8914249999999996E-3</v>
      </c>
      <c r="D6" s="2">
        <v>26.5</v>
      </c>
      <c r="E6" s="2">
        <v>5.75</v>
      </c>
      <c r="F6" s="2">
        <f>AVERAGE(C6:E6)</f>
        <v>10.751630474999999</v>
      </c>
      <c r="G6" s="2">
        <f>0.5*C6</f>
        <v>2.4457124999999998E-3</v>
      </c>
      <c r="H6" s="2">
        <f>0.2*D6</f>
        <v>5.3000000000000007</v>
      </c>
      <c r="I6" s="2">
        <f>0.3*E6</f>
        <v>1.7249999999999999</v>
      </c>
      <c r="J6" s="2">
        <f>AVERAGE(G6:I6)</f>
        <v>2.3424819041666667</v>
      </c>
    </row>
    <row r="7" spans="1:10" x14ac:dyDescent="0.3">
      <c r="A7" s="2">
        <f t="shared" si="0"/>
        <v>3</v>
      </c>
      <c r="B7" s="2" t="s">
        <v>43</v>
      </c>
      <c r="C7" s="2">
        <v>3.3905149999999989E-3</v>
      </c>
      <c r="D7" s="2">
        <v>24.05</v>
      </c>
      <c r="E7" s="2">
        <v>10.25</v>
      </c>
      <c r="F7" s="2">
        <f>AVERAGE(C7:E7)</f>
        <v>11.434463505000002</v>
      </c>
      <c r="G7" s="2">
        <f>0.5*C7</f>
        <v>1.6952574999999994E-3</v>
      </c>
      <c r="H7" s="2">
        <f>0.2*D7</f>
        <v>4.8100000000000005</v>
      </c>
      <c r="I7" s="2">
        <f>0.3*E7</f>
        <v>3.0749999999999997</v>
      </c>
      <c r="J7" s="2">
        <f>AVERAGE(G7:I7)</f>
        <v>2.6288984191666667</v>
      </c>
    </row>
    <row r="8" spans="1:10" x14ac:dyDescent="0.3">
      <c r="A8" s="2">
        <f t="shared" si="0"/>
        <v>5</v>
      </c>
      <c r="B8" s="2" t="s">
        <v>63</v>
      </c>
      <c r="C8" s="2">
        <v>5.2392799999999998E-3</v>
      </c>
      <c r="D8" s="2">
        <v>28.45</v>
      </c>
      <c r="E8" s="2">
        <v>6.05</v>
      </c>
      <c r="F8" s="2">
        <f>AVERAGE(C8:E8)</f>
        <v>11.501746426666665</v>
      </c>
      <c r="G8" s="2">
        <f>0.5*C8</f>
        <v>2.6196399999999999E-3</v>
      </c>
      <c r="H8" s="2">
        <f>0.2*D8</f>
        <v>5.69</v>
      </c>
      <c r="I8" s="2">
        <f>0.3*E8</f>
        <v>1.8149999999999999</v>
      </c>
      <c r="J8" s="2">
        <f>AVERAGE(G8:I8)</f>
        <v>2.50253988</v>
      </c>
    </row>
    <row r="9" spans="1:10" x14ac:dyDescent="0.3">
      <c r="A9" s="2">
        <f t="shared" si="0"/>
        <v>5</v>
      </c>
      <c r="B9" s="2" t="s">
        <v>67</v>
      </c>
      <c r="C9" s="2">
        <v>5.5476900000000001E-3</v>
      </c>
      <c r="D9" s="2">
        <v>28.25</v>
      </c>
      <c r="E9" s="2">
        <v>6.25</v>
      </c>
      <c r="F9" s="2">
        <f>AVERAGE(C9:E9)</f>
        <v>11.501849229999999</v>
      </c>
      <c r="G9" s="2">
        <f>0.5*C9</f>
        <v>2.773845E-3</v>
      </c>
      <c r="H9" s="2">
        <f>0.2*D9</f>
        <v>5.65</v>
      </c>
      <c r="I9" s="2">
        <f>0.3*E9</f>
        <v>1.875</v>
      </c>
      <c r="J9" s="2">
        <f>AVERAGE(G9:I9)</f>
        <v>2.5092579483333335</v>
      </c>
    </row>
    <row r="10" spans="1:10" x14ac:dyDescent="0.3">
      <c r="A10" s="2">
        <f t="shared" si="0"/>
        <v>5</v>
      </c>
      <c r="B10" s="2" t="s">
        <v>64</v>
      </c>
      <c r="C10" s="2">
        <v>4.6681300000000004E-3</v>
      </c>
      <c r="D10" s="2">
        <v>27.15</v>
      </c>
      <c r="E10" s="2">
        <v>7.6</v>
      </c>
      <c r="F10" s="2">
        <f>AVERAGE(C10:E10)</f>
        <v>11.584889376666666</v>
      </c>
      <c r="G10" s="2">
        <f>0.5*C10</f>
        <v>2.3340650000000002E-3</v>
      </c>
      <c r="H10" s="2">
        <f>0.2*D10</f>
        <v>5.43</v>
      </c>
      <c r="I10" s="2">
        <f>0.3*E10</f>
        <v>2.2799999999999998</v>
      </c>
      <c r="J10" s="2">
        <f>AVERAGE(G10:I10)</f>
        <v>2.5707780216666669</v>
      </c>
    </row>
    <row r="11" spans="1:10" x14ac:dyDescent="0.3">
      <c r="A11" s="2">
        <f t="shared" si="0"/>
        <v>3</v>
      </c>
      <c r="B11" s="2" t="s">
        <v>37</v>
      </c>
      <c r="C11" s="2">
        <v>4.0778300000000002E-3</v>
      </c>
      <c r="D11" s="2">
        <v>24.75</v>
      </c>
      <c r="E11" s="2">
        <v>10.25</v>
      </c>
      <c r="F11" s="2">
        <f>AVERAGE(C11:E11)</f>
        <v>11.668025943333333</v>
      </c>
      <c r="G11" s="2">
        <f>0.5*C11</f>
        <v>2.0389150000000001E-3</v>
      </c>
      <c r="H11" s="2">
        <f>0.2*D11</f>
        <v>4.95</v>
      </c>
      <c r="I11" s="2">
        <f>0.3*E11</f>
        <v>3.0749999999999997</v>
      </c>
      <c r="J11" s="2">
        <f>AVERAGE(G11:I11)</f>
        <v>2.6756796383333334</v>
      </c>
    </row>
    <row r="12" spans="1:10" x14ac:dyDescent="0.3">
      <c r="A12" s="2">
        <f t="shared" si="0"/>
        <v>3</v>
      </c>
      <c r="B12" s="2" t="s">
        <v>42</v>
      </c>
      <c r="C12" s="2">
        <v>4.932225000000001E-3</v>
      </c>
      <c r="D12" s="2">
        <v>26.5</v>
      </c>
      <c r="E12" s="2">
        <v>8.8000000000000007</v>
      </c>
      <c r="F12" s="2">
        <f>AVERAGE(C12:E12)</f>
        <v>11.768310741666667</v>
      </c>
      <c r="G12" s="2">
        <f>0.5*C12</f>
        <v>2.4661125000000005E-3</v>
      </c>
      <c r="H12" s="2">
        <f>0.2*D12</f>
        <v>5.3000000000000007</v>
      </c>
      <c r="I12" s="2">
        <f>0.3*E12</f>
        <v>2.64</v>
      </c>
      <c r="J12" s="2">
        <f>AVERAGE(G12:I12)</f>
        <v>2.6474887041666668</v>
      </c>
    </row>
    <row r="13" spans="1:10" x14ac:dyDescent="0.3">
      <c r="A13" s="2">
        <f t="shared" si="0"/>
        <v>4</v>
      </c>
      <c r="B13" s="2" t="s">
        <v>53</v>
      </c>
      <c r="C13" s="2">
        <v>5.2475600000000001E-3</v>
      </c>
      <c r="D13" s="2">
        <v>28.45</v>
      </c>
      <c r="E13" s="2">
        <v>9.25</v>
      </c>
      <c r="F13" s="2">
        <f>AVERAGE(C13:E13)</f>
        <v>12.568415853333335</v>
      </c>
      <c r="G13" s="2">
        <f>0.5*C13</f>
        <v>2.62378E-3</v>
      </c>
      <c r="H13" s="2">
        <f>0.2*D13</f>
        <v>5.69</v>
      </c>
      <c r="I13" s="2">
        <f>0.3*E13</f>
        <v>2.7749999999999999</v>
      </c>
      <c r="J13" s="2">
        <f>AVERAGE(G13:I13)</f>
        <v>2.8225412599999999</v>
      </c>
    </row>
    <row r="14" spans="1:10" x14ac:dyDescent="0.3">
      <c r="A14" s="2">
        <f t="shared" si="0"/>
        <v>4</v>
      </c>
      <c r="B14" s="2" t="s">
        <v>60</v>
      </c>
      <c r="C14" s="2">
        <v>5.5285949999999999E-3</v>
      </c>
      <c r="D14" s="2">
        <v>28.25</v>
      </c>
      <c r="E14" s="2">
        <v>9.4499999999999993</v>
      </c>
      <c r="F14" s="2">
        <f>AVERAGE(C14:E14)</f>
        <v>12.568509531666669</v>
      </c>
      <c r="G14" s="2">
        <f>0.5*C14</f>
        <v>2.7642974999999999E-3</v>
      </c>
      <c r="H14" s="2">
        <f>0.2*D14</f>
        <v>5.65</v>
      </c>
      <c r="I14" s="2">
        <f>0.3*E14</f>
        <v>2.8349999999999995</v>
      </c>
      <c r="J14" s="2">
        <f>AVERAGE(G14:I14)</f>
        <v>2.8292547658333334</v>
      </c>
    </row>
    <row r="15" spans="1:10" x14ac:dyDescent="0.3">
      <c r="A15" s="2">
        <f t="shared" si="0"/>
        <v>6</v>
      </c>
      <c r="B15" s="2" t="s">
        <v>68</v>
      </c>
      <c r="C15" s="2">
        <v>5.9469650000000002E-3</v>
      </c>
      <c r="D15" s="2">
        <v>31.1</v>
      </c>
      <c r="E15" s="2">
        <v>6.9</v>
      </c>
      <c r="F15" s="2">
        <f>AVERAGE(C15:E15)</f>
        <v>12.668648988333333</v>
      </c>
      <c r="G15" s="2">
        <f>0.5*C15</f>
        <v>2.9734825000000001E-3</v>
      </c>
      <c r="H15" s="2">
        <f>0.2*D15</f>
        <v>6.2200000000000006</v>
      </c>
      <c r="I15" s="2">
        <f>0.3*E15</f>
        <v>2.0699999999999998</v>
      </c>
      <c r="J15" s="2">
        <f>AVERAGE(G15:I15)</f>
        <v>2.7643244941666669</v>
      </c>
    </row>
    <row r="16" spans="1:10" x14ac:dyDescent="0.3">
      <c r="A16" s="2">
        <f t="shared" si="0"/>
        <v>4</v>
      </c>
      <c r="B16" s="2" t="s">
        <v>54</v>
      </c>
      <c r="C16" s="2">
        <v>4.6912200000000003E-3</v>
      </c>
      <c r="D16" s="2">
        <v>27.15</v>
      </c>
      <c r="E16" s="2">
        <v>11</v>
      </c>
      <c r="F16" s="2">
        <f>AVERAGE(C16:E16)</f>
        <v>12.718230406666668</v>
      </c>
      <c r="G16" s="2">
        <f>0.5*C16</f>
        <v>2.3456100000000001E-3</v>
      </c>
      <c r="H16" s="2">
        <f>0.2*D16</f>
        <v>5.43</v>
      </c>
      <c r="I16" s="2">
        <f>0.3*E16</f>
        <v>3.3</v>
      </c>
      <c r="J16" s="2">
        <f>AVERAGE(G16:I16)</f>
        <v>2.9107818699999997</v>
      </c>
    </row>
    <row r="17" spans="1:10" x14ac:dyDescent="0.3">
      <c r="A17" s="2">
        <f t="shared" si="0"/>
        <v>3</v>
      </c>
      <c r="B17" s="2" t="s">
        <v>39</v>
      </c>
      <c r="C17" s="2">
        <v>5.3529099999999998E-3</v>
      </c>
      <c r="D17" s="2">
        <v>32.9</v>
      </c>
      <c r="E17" s="2">
        <v>6.7</v>
      </c>
      <c r="F17" s="2">
        <f>AVERAGE(C17:E17)</f>
        <v>13.201784303333334</v>
      </c>
      <c r="G17" s="2">
        <f>0.5*C17</f>
        <v>2.6764549999999999E-3</v>
      </c>
      <c r="H17" s="2">
        <f>0.2*D17</f>
        <v>6.58</v>
      </c>
      <c r="I17" s="2">
        <f>0.3*E17</f>
        <v>2.0099999999999998</v>
      </c>
      <c r="J17" s="2">
        <f>AVERAGE(G17:I17)</f>
        <v>2.864225485</v>
      </c>
    </row>
    <row r="18" spans="1:10" x14ac:dyDescent="0.3">
      <c r="A18" s="2">
        <f t="shared" si="0"/>
        <v>5</v>
      </c>
      <c r="B18" s="2" t="s">
        <v>65</v>
      </c>
      <c r="C18" s="2">
        <v>5.9296749999999997E-3</v>
      </c>
      <c r="D18" s="2">
        <v>31.1</v>
      </c>
      <c r="E18" s="2">
        <v>10.3</v>
      </c>
      <c r="F18" s="2">
        <f>AVERAGE(C18:E18)</f>
        <v>13.801976558333335</v>
      </c>
      <c r="G18" s="2">
        <f>0.5*C18</f>
        <v>2.9648374999999999E-3</v>
      </c>
      <c r="H18" s="2">
        <f>0.2*D18</f>
        <v>6.2200000000000006</v>
      </c>
      <c r="I18" s="2">
        <f>0.3*E18</f>
        <v>3.0900000000000003</v>
      </c>
      <c r="J18" s="2">
        <f>AVERAGE(G18:I18)</f>
        <v>3.1043216125000002</v>
      </c>
    </row>
    <row r="19" spans="1:10" x14ac:dyDescent="0.3">
      <c r="A19" s="2">
        <f t="shared" si="0"/>
        <v>2</v>
      </c>
      <c r="B19" s="2" t="s">
        <v>21</v>
      </c>
      <c r="C19" s="2">
        <v>5.3853849999999986E-3</v>
      </c>
      <c r="D19" s="2">
        <v>32.9</v>
      </c>
      <c r="E19" s="2">
        <v>9.4</v>
      </c>
      <c r="F19" s="2">
        <f>AVERAGE(C19:E19)</f>
        <v>14.101795128333331</v>
      </c>
      <c r="G19" s="2">
        <f>0.5*C19</f>
        <v>2.6926924999999993E-3</v>
      </c>
      <c r="H19" s="2">
        <f>0.2*D19</f>
        <v>6.58</v>
      </c>
      <c r="I19" s="2">
        <f>0.3*E19</f>
        <v>2.82</v>
      </c>
      <c r="J19" s="2">
        <f>AVERAGE(G19:I19)</f>
        <v>3.1342308975000002</v>
      </c>
    </row>
    <row r="20" spans="1:10" x14ac:dyDescent="0.3">
      <c r="A20" s="2">
        <f t="shared" si="0"/>
        <v>5</v>
      </c>
      <c r="B20" s="2" t="s">
        <v>66</v>
      </c>
      <c r="C20" s="2">
        <v>6.3761149999999999E-3</v>
      </c>
      <c r="D20" s="2">
        <v>35.65</v>
      </c>
      <c r="E20" s="2">
        <v>7.3</v>
      </c>
      <c r="F20" s="2">
        <f>AVERAGE(C20:E20)</f>
        <v>14.318792038333333</v>
      </c>
      <c r="G20" s="2">
        <f>0.5*C20</f>
        <v>3.1880575E-3</v>
      </c>
      <c r="H20" s="2">
        <f>0.2*D20</f>
        <v>7.13</v>
      </c>
      <c r="I20" s="2">
        <f>0.3*E20</f>
        <v>2.19</v>
      </c>
      <c r="J20" s="2">
        <f>AVERAGE(G20:I20)</f>
        <v>3.1077293524999998</v>
      </c>
    </row>
    <row r="21" spans="1:10" x14ac:dyDescent="0.3">
      <c r="A21" s="2">
        <f t="shared" si="0"/>
        <v>4</v>
      </c>
      <c r="B21" s="2" t="s">
        <v>55</v>
      </c>
      <c r="C21" s="2">
        <v>5.9995400000000003E-3</v>
      </c>
      <c r="D21" s="2">
        <v>35.9</v>
      </c>
      <c r="E21" s="2">
        <v>7.45</v>
      </c>
      <c r="F21" s="2">
        <f>AVERAGE(C21:E21)</f>
        <v>14.451999846666666</v>
      </c>
      <c r="G21" s="2">
        <f>0.5*C21</f>
        <v>2.9997700000000001E-3</v>
      </c>
      <c r="H21" s="2">
        <f>0.2*D21</f>
        <v>7.18</v>
      </c>
      <c r="I21" s="2">
        <f>0.3*E21</f>
        <v>2.2349999999999999</v>
      </c>
      <c r="J21" s="2">
        <f>AVERAGE(G21:I21)</f>
        <v>3.1393332566666667</v>
      </c>
    </row>
    <row r="22" spans="1:10" x14ac:dyDescent="0.3">
      <c r="A22" s="2">
        <f t="shared" si="0"/>
        <v>3</v>
      </c>
      <c r="B22" s="2" t="s">
        <v>44</v>
      </c>
      <c r="C22" s="2">
        <v>5.6903549999999994E-3</v>
      </c>
      <c r="D22" s="2">
        <v>38.1</v>
      </c>
      <c r="E22" s="2">
        <v>5.95</v>
      </c>
      <c r="F22" s="2">
        <f>AVERAGE(C22:E22)</f>
        <v>14.685230118333335</v>
      </c>
      <c r="G22" s="2">
        <f>0.5*C22</f>
        <v>2.8451774999999997E-3</v>
      </c>
      <c r="H22" s="2">
        <f>0.2*D22</f>
        <v>7.620000000000001</v>
      </c>
      <c r="I22" s="2">
        <f>0.3*E22</f>
        <v>1.7849999999999999</v>
      </c>
      <c r="J22" s="2">
        <f>AVERAGE(G22:I22)</f>
        <v>3.1359483925</v>
      </c>
    </row>
    <row r="23" spans="1:10" x14ac:dyDescent="0.3">
      <c r="A23" s="2">
        <f t="shared" si="0"/>
        <v>4</v>
      </c>
      <c r="B23" s="2" t="s">
        <v>57</v>
      </c>
      <c r="C23" s="2">
        <v>6.5709999999999996E-3</v>
      </c>
      <c r="D23" s="2">
        <v>38.75</v>
      </c>
      <c r="E23" s="2">
        <v>6.95</v>
      </c>
      <c r="F23" s="2">
        <f>AVERAGE(C23:E23)</f>
        <v>15.235523666666667</v>
      </c>
      <c r="G23" s="2">
        <f>0.5*C23</f>
        <v>3.2854999999999998E-3</v>
      </c>
      <c r="H23" s="2">
        <f>0.2*D23</f>
        <v>7.75</v>
      </c>
      <c r="I23" s="2">
        <f>0.3*E23</f>
        <v>2.085</v>
      </c>
      <c r="J23" s="2">
        <f>AVERAGE(G23:I23)</f>
        <v>3.2794284999999999</v>
      </c>
    </row>
    <row r="24" spans="1:10" x14ac:dyDescent="0.3">
      <c r="A24" s="2">
        <f t="shared" si="0"/>
        <v>4</v>
      </c>
      <c r="B24" s="2" t="s">
        <v>56</v>
      </c>
      <c r="C24" s="2">
        <v>6.3609700000000014E-3</v>
      </c>
      <c r="D24" s="2">
        <v>35.65</v>
      </c>
      <c r="E24" s="2">
        <v>11</v>
      </c>
      <c r="F24" s="2">
        <f>AVERAGE(C24:E24)</f>
        <v>15.552120323333334</v>
      </c>
      <c r="G24" s="2">
        <f>0.5*C24</f>
        <v>3.1804850000000007E-3</v>
      </c>
      <c r="H24" s="2">
        <f>0.2*D24</f>
        <v>7.13</v>
      </c>
      <c r="I24" s="2">
        <f>0.3*E24</f>
        <v>3.3</v>
      </c>
      <c r="J24" s="2">
        <f>AVERAGE(G24:I24)</f>
        <v>3.4777268283333331</v>
      </c>
    </row>
    <row r="25" spans="1:10" x14ac:dyDescent="0.3">
      <c r="A25" s="2">
        <f t="shared" si="0"/>
        <v>3</v>
      </c>
      <c r="B25" s="2" t="s">
        <v>38</v>
      </c>
      <c r="C25" s="2">
        <v>6.0230149999999996E-3</v>
      </c>
      <c r="D25" s="2">
        <v>35.9</v>
      </c>
      <c r="E25" s="2">
        <v>11.05</v>
      </c>
      <c r="F25" s="2">
        <f>AVERAGE(C25:E25)</f>
        <v>15.652007671666667</v>
      </c>
      <c r="G25" s="2">
        <f>0.5*C25</f>
        <v>3.0115074999999998E-3</v>
      </c>
      <c r="H25" s="2">
        <f>0.2*D25</f>
        <v>7.18</v>
      </c>
      <c r="I25" s="2">
        <f>0.3*E25</f>
        <v>3.3149999999999999</v>
      </c>
      <c r="J25" s="2">
        <f>AVERAGE(G25:I25)</f>
        <v>3.4993371691666666</v>
      </c>
    </row>
    <row r="26" spans="1:10" x14ac:dyDescent="0.3">
      <c r="A26" s="2">
        <f t="shared" si="0"/>
        <v>2</v>
      </c>
      <c r="B26" s="2" t="s">
        <v>23</v>
      </c>
      <c r="C26" s="2">
        <v>5.7008099999999997E-3</v>
      </c>
      <c r="D26" s="2">
        <v>38.1</v>
      </c>
      <c r="E26" s="2">
        <v>9.4</v>
      </c>
      <c r="F26" s="2">
        <f>AVERAGE(C26:E26)</f>
        <v>15.835233603333334</v>
      </c>
      <c r="G26" s="2">
        <f>0.5*C26</f>
        <v>2.8504049999999999E-3</v>
      </c>
      <c r="H26" s="2">
        <f>0.2*D26</f>
        <v>7.620000000000001</v>
      </c>
      <c r="I26" s="2">
        <f>0.3*E26</f>
        <v>2.82</v>
      </c>
      <c r="J26" s="2">
        <f>AVERAGE(G26:I26)</f>
        <v>3.4809501350000005</v>
      </c>
    </row>
    <row r="27" spans="1:10" x14ac:dyDescent="0.3">
      <c r="A27" s="2">
        <f t="shared" si="0"/>
        <v>3</v>
      </c>
      <c r="B27" s="2" t="s">
        <v>40</v>
      </c>
      <c r="C27" s="2">
        <v>6.5707200000000004E-3</v>
      </c>
      <c r="D27" s="2">
        <v>38.75</v>
      </c>
      <c r="E27" s="2">
        <v>9.85</v>
      </c>
      <c r="F27" s="2">
        <f>AVERAGE(C27:E27)</f>
        <v>16.20219024</v>
      </c>
      <c r="G27" s="2">
        <f>0.5*C27</f>
        <v>3.2853600000000002E-3</v>
      </c>
      <c r="H27" s="2">
        <f>0.2*D27</f>
        <v>7.75</v>
      </c>
      <c r="I27" s="2">
        <f>0.3*E27</f>
        <v>2.9549999999999996</v>
      </c>
      <c r="J27" s="2">
        <f>AVERAGE(G27:I27)</f>
        <v>3.5694284533333334</v>
      </c>
    </row>
    <row r="28" spans="1:10" x14ac:dyDescent="0.3">
      <c r="A28" s="2">
        <f t="shared" si="0"/>
        <v>2</v>
      </c>
      <c r="B28" s="2" t="s">
        <v>24</v>
      </c>
      <c r="C28" s="2">
        <v>6.8799050000000004E-3</v>
      </c>
      <c r="D28" s="2">
        <v>43</v>
      </c>
      <c r="E28" s="2">
        <v>5.6</v>
      </c>
      <c r="F28" s="2">
        <f>AVERAGE(C28:E28)</f>
        <v>16.202293301666668</v>
      </c>
      <c r="G28" s="2">
        <f>0.5*C28</f>
        <v>3.4399525000000002E-3</v>
      </c>
      <c r="H28" s="2">
        <f>0.2*D28</f>
        <v>8.6</v>
      </c>
      <c r="I28" s="2">
        <f>0.3*E28</f>
        <v>1.68</v>
      </c>
      <c r="J28" s="2">
        <f>AVERAGE(G28:I28)</f>
        <v>3.4278133175000001</v>
      </c>
    </row>
    <row r="29" spans="1:10" x14ac:dyDescent="0.3">
      <c r="A29" s="2">
        <f t="shared" si="0"/>
        <v>1</v>
      </c>
      <c r="B29" s="2" t="s">
        <v>9</v>
      </c>
      <c r="C29" s="2">
        <v>6.9183300000000003E-3</v>
      </c>
      <c r="D29" s="2">
        <v>43</v>
      </c>
      <c r="E29" s="2">
        <v>8.9</v>
      </c>
      <c r="F29" s="2">
        <f>AVERAGE(C29:E29)</f>
        <v>17.30230611</v>
      </c>
      <c r="G29" s="2">
        <f>0.5*C29</f>
        <v>3.4591650000000002E-3</v>
      </c>
      <c r="H29" s="2">
        <f>0.2*D29</f>
        <v>8.6</v>
      </c>
      <c r="I29" s="2">
        <f>0.3*E29</f>
        <v>2.67</v>
      </c>
      <c r="J29" s="2">
        <f>AVERAGE(G29:I29)</f>
        <v>3.7578197216666669</v>
      </c>
    </row>
    <row r="30" spans="1:10" x14ac:dyDescent="0.3">
      <c r="A30" s="2">
        <f t="shared" si="0"/>
        <v>4</v>
      </c>
      <c r="B30" s="2" t="s">
        <v>61</v>
      </c>
      <c r="C30" s="2">
        <v>8.2305450000000006E-3</v>
      </c>
      <c r="D30" s="2">
        <v>45.9</v>
      </c>
      <c r="E30" s="2">
        <v>6.1</v>
      </c>
      <c r="F30" s="2">
        <f>AVERAGE(C30:E30)</f>
        <v>17.336076848333335</v>
      </c>
      <c r="G30" s="2">
        <f>0.5*C30</f>
        <v>4.1152725000000003E-3</v>
      </c>
      <c r="H30" s="2">
        <f>0.2*D30</f>
        <v>9.18</v>
      </c>
      <c r="I30" s="2">
        <f>0.3*E30</f>
        <v>1.8299999999999998</v>
      </c>
      <c r="J30" s="2">
        <f>AVERAGE(G30:I30)</f>
        <v>3.6713717574999998</v>
      </c>
    </row>
    <row r="31" spans="1:10" x14ac:dyDescent="0.3">
      <c r="A31" s="2">
        <f t="shared" si="0"/>
        <v>3</v>
      </c>
      <c r="B31" s="2" t="s">
        <v>45</v>
      </c>
      <c r="C31" s="2">
        <v>8.2380949999999991E-3</v>
      </c>
      <c r="D31" s="2">
        <v>45.9</v>
      </c>
      <c r="E31" s="2">
        <v>9.5</v>
      </c>
      <c r="F31" s="2">
        <f>AVERAGE(C31:E31)</f>
        <v>18.469412698333333</v>
      </c>
      <c r="G31" s="2">
        <f>0.5*C31</f>
        <v>4.1190474999999995E-3</v>
      </c>
      <c r="H31" s="2">
        <f>0.2*D31</f>
        <v>9.18</v>
      </c>
      <c r="I31" s="2">
        <f>0.3*E31</f>
        <v>2.85</v>
      </c>
      <c r="J31" s="2">
        <f>AVERAGE(G31:I31)</f>
        <v>4.0113730158333327</v>
      </c>
    </row>
    <row r="32" spans="1:10" x14ac:dyDescent="0.3">
      <c r="A32" s="2">
        <f t="shared" si="0"/>
        <v>3</v>
      </c>
      <c r="B32" s="2" t="s">
        <v>46</v>
      </c>
      <c r="C32" s="2">
        <v>1.1661204999999999E-2</v>
      </c>
      <c r="D32" s="2">
        <v>62.2</v>
      </c>
      <c r="E32" s="2">
        <v>5.95</v>
      </c>
      <c r="F32" s="2">
        <f>AVERAGE(C32:E32)</f>
        <v>22.720553734999999</v>
      </c>
      <c r="G32" s="2">
        <f>0.5*C32</f>
        <v>5.8306024999999996E-3</v>
      </c>
      <c r="H32" s="2">
        <f>0.2*D32</f>
        <v>12.440000000000001</v>
      </c>
      <c r="I32" s="2">
        <f>0.3*E32</f>
        <v>1.7849999999999999</v>
      </c>
      <c r="J32" s="2">
        <f>AVERAGE(G32:I32)</f>
        <v>4.7436102008333334</v>
      </c>
    </row>
    <row r="33" spans="1:10" x14ac:dyDescent="0.3">
      <c r="A33" s="2">
        <f t="shared" si="0"/>
        <v>2</v>
      </c>
      <c r="B33" s="2" t="s">
        <v>25</v>
      </c>
      <c r="C33" s="2">
        <v>1.1629415000000001E-2</v>
      </c>
      <c r="D33" s="2">
        <v>62.2</v>
      </c>
      <c r="E33" s="2">
        <v>9.1999999999999993</v>
      </c>
      <c r="F33" s="2">
        <f>AVERAGE(C33:E33)</f>
        <v>23.803876471666669</v>
      </c>
      <c r="G33" s="2">
        <f>0.5*C33</f>
        <v>5.8147075000000003E-3</v>
      </c>
      <c r="H33" s="2">
        <f>0.2*D33</f>
        <v>12.440000000000001</v>
      </c>
      <c r="I33" s="2">
        <f>0.3*E33</f>
        <v>2.76</v>
      </c>
      <c r="J33" s="2">
        <f>AVERAGE(G33:I33)</f>
        <v>5.0686049025000006</v>
      </c>
    </row>
    <row r="34" spans="1:10" x14ac:dyDescent="0.3">
      <c r="A34" s="2">
        <f t="shared" ref="A34:A65" si="1">LEN(B34)-LEN(SUBSTITUTE(B34,"-",""))+1</f>
        <v>2</v>
      </c>
      <c r="B34" s="2" t="s">
        <v>16</v>
      </c>
      <c r="C34" s="2">
        <v>4.5716250000000002E-3</v>
      </c>
      <c r="D34" s="2">
        <v>144</v>
      </c>
      <c r="E34" s="2">
        <v>6.3</v>
      </c>
      <c r="F34" s="2">
        <f>AVERAGE(C34:E34)</f>
        <v>50.101523875000005</v>
      </c>
      <c r="G34" s="2">
        <f>0.5*C34</f>
        <v>2.2858125000000001E-3</v>
      </c>
      <c r="H34" s="2">
        <f>0.2*D34</f>
        <v>28.8</v>
      </c>
      <c r="I34" s="2">
        <f>0.3*E34</f>
        <v>1.89</v>
      </c>
      <c r="J34" s="2">
        <f>AVERAGE(G34:I34)</f>
        <v>10.230761937500001</v>
      </c>
    </row>
    <row r="35" spans="1:10" x14ac:dyDescent="0.3">
      <c r="A35" s="2">
        <f t="shared" si="1"/>
        <v>3</v>
      </c>
      <c r="B35" s="2" t="s">
        <v>33</v>
      </c>
      <c r="C35" s="2">
        <v>4.7251800000000007E-3</v>
      </c>
      <c r="D35" s="2">
        <v>144.44999999999999</v>
      </c>
      <c r="E35" s="2">
        <v>6.25</v>
      </c>
      <c r="F35" s="2">
        <f>AVERAGE(C35:E35)</f>
        <v>50.234908393333335</v>
      </c>
      <c r="G35" s="2">
        <f>0.5*C35</f>
        <v>2.3625900000000003E-3</v>
      </c>
      <c r="H35" s="2">
        <f>0.2*D35</f>
        <v>28.89</v>
      </c>
      <c r="I35" s="2">
        <f>0.3*E35</f>
        <v>1.875</v>
      </c>
      <c r="J35" s="2">
        <f>AVERAGE(G35:I35)</f>
        <v>10.255787530000001</v>
      </c>
    </row>
    <row r="36" spans="1:10" x14ac:dyDescent="0.3">
      <c r="A36" s="2">
        <f t="shared" si="1"/>
        <v>2</v>
      </c>
      <c r="B36" s="2" t="s">
        <v>17</v>
      </c>
      <c r="C36" s="2">
        <v>4.7098149999999991E-3</v>
      </c>
      <c r="D36" s="2">
        <v>144.44999999999999</v>
      </c>
      <c r="E36" s="2">
        <v>11.25</v>
      </c>
      <c r="F36" s="2">
        <f>AVERAGE(C36:E36)</f>
        <v>51.901569938333331</v>
      </c>
      <c r="G36" s="2">
        <f>0.5*C36</f>
        <v>2.3549074999999996E-3</v>
      </c>
      <c r="H36" s="2">
        <f>0.2*D36</f>
        <v>28.89</v>
      </c>
      <c r="I36" s="2">
        <f>0.3*E36</f>
        <v>3.375</v>
      </c>
      <c r="J36" s="2">
        <f>AVERAGE(G36:I36)</f>
        <v>10.755784969166667</v>
      </c>
    </row>
    <row r="37" spans="1:10" x14ac:dyDescent="0.3">
      <c r="A37" s="2">
        <f t="shared" si="1"/>
        <v>1</v>
      </c>
      <c r="B37" s="2" t="s">
        <v>7</v>
      </c>
      <c r="C37" s="2">
        <v>4.5733000000000006E-3</v>
      </c>
      <c r="D37" s="2">
        <v>144</v>
      </c>
      <c r="E37" s="2">
        <v>13.25</v>
      </c>
      <c r="F37" s="2">
        <f>AVERAGE(C37:E37)</f>
        <v>52.418191100000001</v>
      </c>
      <c r="G37" s="2">
        <f>0.5*C37</f>
        <v>2.2866500000000003E-3</v>
      </c>
      <c r="H37" s="2">
        <f>0.2*D37</f>
        <v>28.8</v>
      </c>
      <c r="I37" s="2">
        <f>0.3*E37</f>
        <v>3.9749999999999996</v>
      </c>
      <c r="J37" s="2">
        <f>AVERAGE(G37:I37)</f>
        <v>10.925762216666667</v>
      </c>
    </row>
    <row r="38" spans="1:10" x14ac:dyDescent="0.3">
      <c r="A38" s="2">
        <f t="shared" si="1"/>
        <v>4</v>
      </c>
      <c r="B38" s="2" t="s">
        <v>47</v>
      </c>
      <c r="C38" s="2">
        <v>1.854285E-3</v>
      </c>
      <c r="D38" s="2">
        <v>211</v>
      </c>
      <c r="E38" s="2">
        <v>6.65</v>
      </c>
      <c r="F38" s="2">
        <f>AVERAGE(C38:E38)</f>
        <v>72.550618095000004</v>
      </c>
      <c r="G38" s="2">
        <f>0.5*C38</f>
        <v>9.271425E-4</v>
      </c>
      <c r="H38" s="2">
        <f>0.2*D38</f>
        <v>42.2</v>
      </c>
      <c r="I38" s="2">
        <f>0.3*E38</f>
        <v>1.9950000000000001</v>
      </c>
      <c r="J38" s="2">
        <f>AVERAGE(G38:I38)</f>
        <v>14.731975714166666</v>
      </c>
    </row>
    <row r="39" spans="1:10" x14ac:dyDescent="0.3">
      <c r="A39" s="2">
        <f t="shared" si="1"/>
        <v>3</v>
      </c>
      <c r="B39" s="2" t="s">
        <v>28</v>
      </c>
      <c r="C39" s="2">
        <v>1.8579E-3</v>
      </c>
      <c r="D39" s="2">
        <v>211</v>
      </c>
      <c r="E39" s="2">
        <v>12.45</v>
      </c>
      <c r="F39" s="2">
        <f>AVERAGE(C39:E39)</f>
        <v>74.483952633333331</v>
      </c>
      <c r="G39" s="2">
        <f>0.5*C39</f>
        <v>9.2895E-4</v>
      </c>
      <c r="H39" s="2">
        <f>0.2*D39</f>
        <v>42.2</v>
      </c>
      <c r="I39" s="2">
        <f>0.3*E39</f>
        <v>3.7349999999999994</v>
      </c>
      <c r="J39" s="2">
        <f>AVERAGE(G39:I39)</f>
        <v>15.311976316666668</v>
      </c>
    </row>
    <row r="40" spans="1:10" x14ac:dyDescent="0.3">
      <c r="A40" s="2">
        <f t="shared" si="1"/>
        <v>3</v>
      </c>
      <c r="B40" s="2" t="s">
        <v>27</v>
      </c>
      <c r="C40" s="2">
        <v>1.6394249999999999E-3</v>
      </c>
      <c r="D40" s="2">
        <v>219.5</v>
      </c>
      <c r="E40" s="2">
        <v>6.75</v>
      </c>
      <c r="F40" s="2">
        <f>AVERAGE(C40:E40)</f>
        <v>75.417213141666664</v>
      </c>
      <c r="G40" s="2">
        <f>0.5*C40</f>
        <v>8.1971249999999996E-4</v>
      </c>
      <c r="H40" s="2">
        <f>0.2*D40</f>
        <v>43.900000000000006</v>
      </c>
      <c r="I40" s="2">
        <f>0.3*E40</f>
        <v>2.0249999999999999</v>
      </c>
      <c r="J40" s="2">
        <f>AVERAGE(G40:I40)</f>
        <v>15.308606570833334</v>
      </c>
    </row>
    <row r="41" spans="1:10" x14ac:dyDescent="0.3">
      <c r="A41" s="2">
        <f t="shared" si="1"/>
        <v>2</v>
      </c>
      <c r="B41" s="2" t="s">
        <v>12</v>
      </c>
      <c r="C41" s="2">
        <v>1.6257400000000001E-3</v>
      </c>
      <c r="D41" s="2">
        <v>219.5</v>
      </c>
      <c r="E41" s="2">
        <v>12.95</v>
      </c>
      <c r="F41" s="2">
        <f>AVERAGE(C41:E41)</f>
        <v>77.48387524666667</v>
      </c>
      <c r="G41" s="2">
        <f>0.5*C41</f>
        <v>8.1287000000000004E-4</v>
      </c>
      <c r="H41" s="2">
        <f>0.2*D41</f>
        <v>43.900000000000006</v>
      </c>
      <c r="I41" s="2">
        <f>0.3*E41</f>
        <v>3.8849999999999998</v>
      </c>
      <c r="J41" s="2">
        <f>AVERAGE(G41:I41)</f>
        <v>15.928604290000001</v>
      </c>
    </row>
    <row r="42" spans="1:10" x14ac:dyDescent="0.3">
      <c r="A42" s="2">
        <f t="shared" si="1"/>
        <v>3</v>
      </c>
      <c r="B42" s="2" t="s">
        <v>34</v>
      </c>
      <c r="C42" s="2">
        <v>7.6514749999999996E-3</v>
      </c>
      <c r="D42" s="2">
        <v>236.9</v>
      </c>
      <c r="E42" s="2">
        <v>7</v>
      </c>
      <c r="F42" s="2">
        <f>AVERAGE(C42:E42)</f>
        <v>81.302550491666665</v>
      </c>
      <c r="G42" s="2">
        <f>0.5*C42</f>
        <v>3.8257374999999998E-3</v>
      </c>
      <c r="H42" s="2">
        <f>0.2*D42</f>
        <v>47.38</v>
      </c>
      <c r="I42" s="2">
        <f>0.3*E42</f>
        <v>2.1</v>
      </c>
      <c r="J42" s="2">
        <f>AVERAGE(G42:I42)</f>
        <v>16.49460857916667</v>
      </c>
    </row>
    <row r="43" spans="1:10" x14ac:dyDescent="0.3">
      <c r="A43" s="2">
        <f t="shared" si="1"/>
        <v>4</v>
      </c>
      <c r="B43" s="2" t="s">
        <v>51</v>
      </c>
      <c r="C43" s="2">
        <v>8.0429749999999991E-3</v>
      </c>
      <c r="D43" s="2">
        <v>241.7</v>
      </c>
      <c r="E43" s="2">
        <v>6.65</v>
      </c>
      <c r="F43" s="2">
        <f>AVERAGE(C43:E43)</f>
        <v>82.786014324999996</v>
      </c>
      <c r="G43" s="2">
        <f>0.5*C43</f>
        <v>4.0214874999999995E-3</v>
      </c>
      <c r="H43" s="2">
        <f>0.2*D43</f>
        <v>48.34</v>
      </c>
      <c r="I43" s="2">
        <f>0.3*E43</f>
        <v>1.9950000000000001</v>
      </c>
      <c r="J43" s="2">
        <f>AVERAGE(G43:I43)</f>
        <v>16.779673829166665</v>
      </c>
    </row>
    <row r="44" spans="1:10" x14ac:dyDescent="0.3">
      <c r="A44" s="2">
        <f t="shared" si="1"/>
        <v>3</v>
      </c>
      <c r="B44" s="2" t="s">
        <v>35</v>
      </c>
      <c r="C44" s="2">
        <v>8.0256600000000004E-3</v>
      </c>
      <c r="D44" s="2">
        <v>241.7</v>
      </c>
      <c r="E44" s="2">
        <v>11.55</v>
      </c>
      <c r="F44" s="2">
        <f>AVERAGE(C44:E44)</f>
        <v>84.419341886666658</v>
      </c>
      <c r="G44" s="2">
        <f>0.5*C44</f>
        <v>4.0128300000000002E-3</v>
      </c>
      <c r="H44" s="2">
        <f>0.2*D44</f>
        <v>48.34</v>
      </c>
      <c r="I44" s="2">
        <f>0.3*E44</f>
        <v>3.4650000000000003</v>
      </c>
      <c r="J44" s="2">
        <f>AVERAGE(G44:I44)</f>
        <v>17.269670943333335</v>
      </c>
    </row>
    <row r="45" spans="1:10" x14ac:dyDescent="0.3">
      <c r="A45" s="2">
        <f t="shared" si="1"/>
        <v>2</v>
      </c>
      <c r="B45" s="2" t="s">
        <v>18</v>
      </c>
      <c r="C45" s="2">
        <v>7.6528249999999994E-3</v>
      </c>
      <c r="D45" s="2">
        <v>236.9</v>
      </c>
      <c r="E45" s="2">
        <v>21</v>
      </c>
      <c r="F45" s="2">
        <f>AVERAGE(C45:E45)</f>
        <v>85.969217608333338</v>
      </c>
      <c r="G45" s="2">
        <f>0.5*C45</f>
        <v>3.8264124999999997E-3</v>
      </c>
      <c r="H45" s="2">
        <f>0.2*D45</f>
        <v>47.38</v>
      </c>
      <c r="I45" s="2">
        <f>0.3*E45</f>
        <v>6.3</v>
      </c>
      <c r="J45" s="2">
        <f>AVERAGE(G45:I45)</f>
        <v>17.894608804166666</v>
      </c>
    </row>
    <row r="46" spans="1:10" x14ac:dyDescent="0.3">
      <c r="A46" s="2">
        <f t="shared" si="1"/>
        <v>5</v>
      </c>
      <c r="B46" s="2" t="s">
        <v>62</v>
      </c>
      <c r="C46" s="2">
        <v>3.02287E-3</v>
      </c>
      <c r="D46" s="2">
        <v>310.25</v>
      </c>
      <c r="E46" s="2">
        <v>7.05</v>
      </c>
      <c r="F46" s="2">
        <f>AVERAGE(C46:E46)</f>
        <v>105.76767429</v>
      </c>
      <c r="G46" s="2">
        <f>0.5*C46</f>
        <v>1.511435E-3</v>
      </c>
      <c r="H46" s="2">
        <f>0.2*D46</f>
        <v>62.050000000000004</v>
      </c>
      <c r="I46" s="2">
        <f>0.3*E46</f>
        <v>2.1149999999999998</v>
      </c>
      <c r="J46" s="2">
        <f>AVERAGE(G46:I46)</f>
        <v>21.388837145</v>
      </c>
    </row>
    <row r="47" spans="1:10" x14ac:dyDescent="0.3">
      <c r="A47" s="2">
        <f t="shared" si="1"/>
        <v>4</v>
      </c>
      <c r="B47" s="2" t="s">
        <v>49</v>
      </c>
      <c r="C47" s="2">
        <v>3.065394999999999E-3</v>
      </c>
      <c r="D47" s="2">
        <v>310.25</v>
      </c>
      <c r="E47" s="2">
        <v>11.8</v>
      </c>
      <c r="F47" s="2">
        <f>AVERAGE(C47:E47)</f>
        <v>107.35102179833335</v>
      </c>
      <c r="G47" s="2">
        <f>0.5*C47</f>
        <v>1.5326974999999995E-3</v>
      </c>
      <c r="H47" s="2">
        <f>0.2*D47</f>
        <v>62.050000000000004</v>
      </c>
      <c r="I47" s="2">
        <f>0.3*E47</f>
        <v>3.54</v>
      </c>
      <c r="J47" s="2">
        <f>AVERAGE(G47:I47)</f>
        <v>21.8638442325</v>
      </c>
    </row>
    <row r="48" spans="1:10" x14ac:dyDescent="0.3">
      <c r="A48" s="2">
        <f t="shared" si="1"/>
        <v>4</v>
      </c>
      <c r="B48" s="2" t="s">
        <v>48</v>
      </c>
      <c r="C48" s="2">
        <v>2.7397150000000002E-3</v>
      </c>
      <c r="D48" s="2">
        <v>320.3</v>
      </c>
      <c r="E48" s="2">
        <v>6.9</v>
      </c>
      <c r="F48" s="2">
        <f>AVERAGE(C48:E48)</f>
        <v>109.067579905</v>
      </c>
      <c r="G48" s="2">
        <f>0.5*C48</f>
        <v>1.3698575000000001E-3</v>
      </c>
      <c r="H48" s="2">
        <f>0.2*D48</f>
        <v>64.06</v>
      </c>
      <c r="I48" s="2">
        <f>0.3*E48</f>
        <v>2.0699999999999998</v>
      </c>
      <c r="J48" s="2">
        <f>AVERAGE(G48:I48)</f>
        <v>22.043789952499996</v>
      </c>
    </row>
    <row r="49" spans="1:10" x14ac:dyDescent="0.3">
      <c r="A49" s="2">
        <f t="shared" si="1"/>
        <v>3</v>
      </c>
      <c r="B49" s="2" t="s">
        <v>29</v>
      </c>
      <c r="C49" s="2">
        <v>2.74085E-3</v>
      </c>
      <c r="D49" s="2">
        <v>320.3</v>
      </c>
      <c r="E49" s="2">
        <v>15.8</v>
      </c>
      <c r="F49" s="2">
        <f>AVERAGE(C49:E49)</f>
        <v>112.03424695000001</v>
      </c>
      <c r="G49" s="2">
        <f>0.5*C49</f>
        <v>1.370425E-3</v>
      </c>
      <c r="H49" s="2">
        <f>0.2*D49</f>
        <v>64.06</v>
      </c>
      <c r="I49" s="2">
        <f>0.3*E49</f>
        <v>4.74</v>
      </c>
      <c r="J49" s="2">
        <f>AVERAGE(G49:I49)</f>
        <v>22.933790141666666</v>
      </c>
    </row>
    <row r="50" spans="1:10" x14ac:dyDescent="0.3">
      <c r="A50" s="2">
        <f t="shared" si="1"/>
        <v>3</v>
      </c>
      <c r="B50" s="2" t="s">
        <v>30</v>
      </c>
      <c r="C50" s="2">
        <v>7.5190049999999996E-3</v>
      </c>
      <c r="D50" s="2">
        <v>850.55</v>
      </c>
      <c r="E50" s="2">
        <v>7.8</v>
      </c>
      <c r="F50" s="2">
        <f>AVERAGE(C50:E50)</f>
        <v>286.11917300166664</v>
      </c>
      <c r="G50" s="2">
        <f>0.5*C50</f>
        <v>3.7595024999999998E-3</v>
      </c>
      <c r="H50" s="2">
        <f>0.2*D50</f>
        <v>170.11</v>
      </c>
      <c r="I50" s="2">
        <f>0.3*E50</f>
        <v>2.34</v>
      </c>
      <c r="J50" s="2">
        <f>AVERAGE(G50:I50)</f>
        <v>57.484586500833338</v>
      </c>
    </row>
    <row r="51" spans="1:10" x14ac:dyDescent="0.3">
      <c r="A51" s="2">
        <f t="shared" si="1"/>
        <v>2</v>
      </c>
      <c r="B51" s="2" t="s">
        <v>13</v>
      </c>
      <c r="C51" s="2">
        <v>7.5226250000000007E-3</v>
      </c>
      <c r="D51" s="2">
        <v>850.55</v>
      </c>
      <c r="E51" s="2">
        <v>16.25</v>
      </c>
      <c r="F51" s="2">
        <f>AVERAGE(C51:E51)</f>
        <v>288.935840875</v>
      </c>
      <c r="G51" s="2">
        <f>0.5*C51</f>
        <v>3.7613125000000003E-3</v>
      </c>
      <c r="H51" s="2">
        <f>0.2*D51</f>
        <v>170.11</v>
      </c>
      <c r="I51" s="2">
        <f>0.3*E51</f>
        <v>4.875</v>
      </c>
      <c r="J51" s="2">
        <f>AVERAGE(G51:I51)</f>
        <v>58.32958710416667</v>
      </c>
    </row>
    <row r="52" spans="1:10" x14ac:dyDescent="0.3">
      <c r="A52" s="2">
        <f t="shared" si="1"/>
        <v>4</v>
      </c>
      <c r="B52" s="2" t="s">
        <v>50</v>
      </c>
      <c r="C52" s="2">
        <v>7.7455200000000014E-3</v>
      </c>
      <c r="D52" s="2">
        <v>861.65</v>
      </c>
      <c r="E52" s="2">
        <v>7.8</v>
      </c>
      <c r="F52" s="2">
        <f>AVERAGE(C52:E52)</f>
        <v>289.81924850666661</v>
      </c>
      <c r="G52" s="2">
        <f>0.5*C52</f>
        <v>3.8727600000000007E-3</v>
      </c>
      <c r="H52" s="2">
        <f>0.2*D52</f>
        <v>172.33</v>
      </c>
      <c r="I52" s="2">
        <f>0.3*E52</f>
        <v>2.34</v>
      </c>
      <c r="J52" s="2">
        <f>AVERAGE(G52:I52)</f>
        <v>58.224624253333339</v>
      </c>
    </row>
    <row r="53" spans="1:10" x14ac:dyDescent="0.3">
      <c r="A53" s="2">
        <f t="shared" si="1"/>
        <v>3</v>
      </c>
      <c r="B53" s="2" t="s">
        <v>31</v>
      </c>
      <c r="C53" s="2">
        <v>7.7312300000000004E-3</v>
      </c>
      <c r="D53" s="2">
        <v>861.65</v>
      </c>
      <c r="E53" s="2">
        <v>16.3</v>
      </c>
      <c r="F53" s="2">
        <f>AVERAGE(C53:E53)</f>
        <v>292.65257707666666</v>
      </c>
      <c r="G53" s="2">
        <f>0.5*C53</f>
        <v>3.8656150000000002E-3</v>
      </c>
      <c r="H53" s="2">
        <f>0.2*D53</f>
        <v>172.33</v>
      </c>
      <c r="I53" s="2">
        <f>0.3*E53</f>
        <v>4.8899999999999997</v>
      </c>
      <c r="J53" s="2">
        <f>AVERAGE(G53:I53)</f>
        <v>59.074621871666665</v>
      </c>
    </row>
    <row r="54" spans="1:10" x14ac:dyDescent="0.3">
      <c r="A54" s="2">
        <f t="shared" si="1"/>
        <v>2</v>
      </c>
      <c r="B54" s="2" t="s">
        <v>19</v>
      </c>
      <c r="C54" s="2">
        <v>3.4309325000000002E-2</v>
      </c>
      <c r="D54" s="2">
        <v>899</v>
      </c>
      <c r="E54" s="2">
        <v>6.75</v>
      </c>
      <c r="F54" s="2">
        <f>AVERAGE(C54:E54)</f>
        <v>301.92810310833335</v>
      </c>
      <c r="G54" s="2">
        <f>0.5*C54</f>
        <v>1.7154662500000001E-2</v>
      </c>
      <c r="H54" s="2">
        <f>0.2*D54</f>
        <v>179.8</v>
      </c>
      <c r="I54" s="2">
        <f>0.3*E54</f>
        <v>2.0249999999999999</v>
      </c>
      <c r="J54" s="2">
        <f>AVERAGE(G54:I54)</f>
        <v>60.614051554166672</v>
      </c>
    </row>
    <row r="55" spans="1:10" x14ac:dyDescent="0.3">
      <c r="A55" s="2">
        <f t="shared" si="1"/>
        <v>1</v>
      </c>
      <c r="B55" s="2" t="s">
        <v>8</v>
      </c>
      <c r="C55" s="2">
        <v>3.4424345000000002E-2</v>
      </c>
      <c r="D55" s="2">
        <v>899</v>
      </c>
      <c r="E55" s="2">
        <v>11.75</v>
      </c>
      <c r="F55" s="2">
        <f>AVERAGE(C55:E55)</f>
        <v>303.59480811500003</v>
      </c>
      <c r="G55" s="2">
        <f>0.5*C55</f>
        <v>1.7212172500000001E-2</v>
      </c>
      <c r="H55" s="2">
        <f>0.2*D55</f>
        <v>179.8</v>
      </c>
      <c r="I55" s="2">
        <f>0.3*E55</f>
        <v>3.5249999999999999</v>
      </c>
      <c r="J55" s="2">
        <f>AVERAGE(G55:I55)</f>
        <v>61.114070724166673</v>
      </c>
    </row>
    <row r="56" spans="1:10" x14ac:dyDescent="0.3">
      <c r="A56" s="2">
        <f t="shared" si="1"/>
        <v>3</v>
      </c>
      <c r="B56" s="2" t="s">
        <v>36</v>
      </c>
      <c r="C56" s="2">
        <v>3.2857854999999991E-2</v>
      </c>
      <c r="D56" s="2">
        <v>909.1</v>
      </c>
      <c r="E56" s="2">
        <v>6.9</v>
      </c>
      <c r="F56" s="2">
        <f>AVERAGE(C56:E56)</f>
        <v>305.34428595166668</v>
      </c>
      <c r="G56" s="2">
        <f>0.5*C56</f>
        <v>1.6428927499999996E-2</v>
      </c>
      <c r="H56" s="2">
        <f>0.2*D56</f>
        <v>181.82000000000002</v>
      </c>
      <c r="I56" s="2">
        <f>0.3*E56</f>
        <v>2.0699999999999998</v>
      </c>
      <c r="J56" s="2">
        <f>AVERAGE(G56:I56)</f>
        <v>61.302142975833334</v>
      </c>
    </row>
    <row r="57" spans="1:10" x14ac:dyDescent="0.3">
      <c r="A57" s="2">
        <f t="shared" si="1"/>
        <v>2</v>
      </c>
      <c r="B57" s="2" t="s">
        <v>20</v>
      </c>
      <c r="C57" s="2">
        <v>3.2864059999999987E-2</v>
      </c>
      <c r="D57" s="2">
        <v>909.1</v>
      </c>
      <c r="E57" s="2">
        <v>11.95</v>
      </c>
      <c r="F57" s="2">
        <f>AVERAGE(C57:E57)</f>
        <v>307.02762135333336</v>
      </c>
      <c r="G57" s="2">
        <f>0.5*C57</f>
        <v>1.6432029999999993E-2</v>
      </c>
      <c r="H57" s="2">
        <f>0.2*D57</f>
        <v>181.82000000000002</v>
      </c>
      <c r="I57" s="2">
        <f>0.3*E57</f>
        <v>3.5849999999999995</v>
      </c>
      <c r="J57" s="2">
        <f>AVERAGE(G57:I57)</f>
        <v>61.807144010000009</v>
      </c>
    </row>
    <row r="58" spans="1:10" x14ac:dyDescent="0.3">
      <c r="A58" s="2">
        <f t="shared" si="1"/>
        <v>3</v>
      </c>
      <c r="B58" s="2" t="s">
        <v>32</v>
      </c>
      <c r="C58" s="2">
        <v>6.6669549999999996E-3</v>
      </c>
      <c r="D58" s="2">
        <v>1027.3499999999999</v>
      </c>
      <c r="E58" s="2">
        <v>6.05</v>
      </c>
      <c r="F58" s="2">
        <f>AVERAGE(C58:E58)</f>
        <v>344.46888898499992</v>
      </c>
      <c r="G58" s="2">
        <f>0.5*C58</f>
        <v>3.3334774999999998E-3</v>
      </c>
      <c r="H58" s="2">
        <f>0.2*D58</f>
        <v>205.47</v>
      </c>
      <c r="I58" s="2">
        <f>0.3*E58</f>
        <v>1.8149999999999999</v>
      </c>
      <c r="J58" s="2">
        <f>AVERAGE(G58:I58)</f>
        <v>69.096111159166668</v>
      </c>
    </row>
    <row r="59" spans="1:10" x14ac:dyDescent="0.3">
      <c r="A59" s="2">
        <f t="shared" si="1"/>
        <v>2</v>
      </c>
      <c r="B59" s="2" t="s">
        <v>15</v>
      </c>
      <c r="C59" s="2">
        <v>6.6849850000000001E-3</v>
      </c>
      <c r="D59" s="2">
        <v>1027.3499999999999</v>
      </c>
      <c r="E59" s="2">
        <v>12.45</v>
      </c>
      <c r="F59" s="2">
        <f>AVERAGE(C59:E59)</f>
        <v>346.6022283283333</v>
      </c>
      <c r="G59" s="2">
        <f>0.5*C59</f>
        <v>3.3424925E-3</v>
      </c>
      <c r="H59" s="2">
        <f>0.2*D59</f>
        <v>205.47</v>
      </c>
      <c r="I59" s="2">
        <f>0.3*E59</f>
        <v>3.7349999999999994</v>
      </c>
      <c r="J59" s="2">
        <f>AVERAGE(G59:I59)</f>
        <v>69.736114164166665</v>
      </c>
    </row>
    <row r="60" spans="1:10" x14ac:dyDescent="0.3">
      <c r="A60" s="2">
        <f t="shared" si="1"/>
        <v>2</v>
      </c>
      <c r="B60" s="2" t="s">
        <v>14</v>
      </c>
      <c r="C60" s="2">
        <v>6.3507149999999998E-3</v>
      </c>
      <c r="D60" s="2">
        <v>1056.7</v>
      </c>
      <c r="E60" s="2">
        <v>6.15</v>
      </c>
      <c r="F60" s="2">
        <f>AVERAGE(C60:E60)</f>
        <v>354.2854502383334</v>
      </c>
      <c r="G60" s="2">
        <f>0.5*C60</f>
        <v>3.1753574999999999E-3</v>
      </c>
      <c r="H60" s="2">
        <f>0.2*D60</f>
        <v>211.34000000000003</v>
      </c>
      <c r="I60" s="2">
        <f>0.3*E60</f>
        <v>1.845</v>
      </c>
      <c r="J60" s="2">
        <f>AVERAGE(G60:I60)</f>
        <v>71.062725119166672</v>
      </c>
    </row>
    <row r="61" spans="1:10" x14ac:dyDescent="0.3">
      <c r="A61" s="2">
        <f t="shared" si="1"/>
        <v>1</v>
      </c>
      <c r="B61" s="2" t="s">
        <v>6</v>
      </c>
      <c r="C61" s="2">
        <v>6.3688800000000004E-3</v>
      </c>
      <c r="D61" s="2">
        <v>1056.7</v>
      </c>
      <c r="E61" s="2">
        <v>12.65</v>
      </c>
      <c r="F61" s="2">
        <f>AVERAGE(C61:E61)</f>
        <v>356.45212296000005</v>
      </c>
      <c r="G61" s="2">
        <f>0.5*C61</f>
        <v>3.1844400000000002E-3</v>
      </c>
      <c r="H61" s="2">
        <f>0.2*D61</f>
        <v>211.34000000000003</v>
      </c>
      <c r="I61" s="2">
        <f>0.3*E61</f>
        <v>3.7949999999999999</v>
      </c>
      <c r="J61" s="2">
        <f>AVERAGE(G61:I61)</f>
        <v>71.712728146666677</v>
      </c>
    </row>
    <row r="62" spans="1:10" x14ac:dyDescent="0.3">
      <c r="A62" s="2">
        <f t="shared" si="1"/>
        <v>1</v>
      </c>
      <c r="B62" s="2" t="s">
        <v>10</v>
      </c>
      <c r="C62" s="2">
        <v>5.6884534999999993E-2</v>
      </c>
      <c r="D62" s="2">
        <v>1440.25</v>
      </c>
      <c r="E62" s="2">
        <v>5.25</v>
      </c>
      <c r="F62" s="2">
        <f>AVERAGE(C62:E62)</f>
        <v>481.85229484500002</v>
      </c>
      <c r="G62" s="2">
        <f>0.5*C62</f>
        <v>2.8442267499999997E-2</v>
      </c>
      <c r="H62" s="2">
        <f>0.2*D62</f>
        <v>288.05</v>
      </c>
      <c r="I62" s="2">
        <f>0.3*E62</f>
        <v>1.575</v>
      </c>
      <c r="J62" s="2">
        <f>AVERAGE(G62:I62)</f>
        <v>96.551147422499994</v>
      </c>
    </row>
    <row r="63" spans="1:10" x14ac:dyDescent="0.3">
      <c r="A63" s="2">
        <f t="shared" si="1"/>
        <v>1</v>
      </c>
      <c r="B63" s="2" t="s">
        <v>5</v>
      </c>
      <c r="C63" s="2">
        <v>5.6911955E-2</v>
      </c>
      <c r="D63" s="2">
        <v>1440.25</v>
      </c>
      <c r="E63" s="2">
        <v>17.95</v>
      </c>
      <c r="F63" s="2">
        <f>AVERAGE(C63:E63)</f>
        <v>486.08563731833334</v>
      </c>
      <c r="G63" s="2">
        <f>0.5*C63</f>
        <v>2.84559775E-2</v>
      </c>
      <c r="H63" s="2">
        <f>0.2*D63</f>
        <v>288.05</v>
      </c>
      <c r="I63" s="2">
        <f>0.3*E63</f>
        <v>5.3849999999999998</v>
      </c>
      <c r="J63" s="2">
        <f>AVERAGE(G63:I63)</f>
        <v>97.821151992500006</v>
      </c>
    </row>
    <row r="64" spans="1:10" x14ac:dyDescent="0.3">
      <c r="A64" s="2">
        <f t="shared" si="1"/>
        <v>2</v>
      </c>
      <c r="B64" s="2" t="s">
        <v>26</v>
      </c>
      <c r="C64" s="2">
        <v>5.5317085000000002E-2</v>
      </c>
      <c r="D64" s="2">
        <v>1475.7</v>
      </c>
      <c r="E64" s="2">
        <v>5.7</v>
      </c>
      <c r="F64" s="2">
        <f>AVERAGE(C64:E64)</f>
        <v>493.81843902833339</v>
      </c>
      <c r="G64" s="2">
        <f>0.5*C64</f>
        <v>2.7658542500000001E-2</v>
      </c>
      <c r="H64" s="2">
        <f>0.2*D64</f>
        <v>295.14000000000004</v>
      </c>
      <c r="I64" s="2">
        <f>0.3*E64</f>
        <v>1.71</v>
      </c>
      <c r="J64" s="2">
        <f>AVERAGE(G64:I64)</f>
        <v>98.959219514166662</v>
      </c>
    </row>
    <row r="65" spans="1:10" x14ac:dyDescent="0.3">
      <c r="A65" s="2">
        <f t="shared" si="1"/>
        <v>1</v>
      </c>
      <c r="B65" s="2" t="s">
        <v>11</v>
      </c>
      <c r="C65" s="2">
        <v>5.5183359999999987E-2</v>
      </c>
      <c r="D65" s="2">
        <v>1475.7</v>
      </c>
      <c r="E65" s="2">
        <v>14.15</v>
      </c>
      <c r="F65" s="2">
        <f>AVERAGE(C65:E65)</f>
        <v>496.63506112000005</v>
      </c>
      <c r="G65" s="2">
        <f>0.5*C65</f>
        <v>2.7591679999999993E-2</v>
      </c>
      <c r="H65" s="2">
        <f>0.2*D65</f>
        <v>295.14000000000004</v>
      </c>
      <c r="I65" s="2">
        <f>0.3*E65</f>
        <v>4.2450000000000001</v>
      </c>
      <c r="J65" s="2">
        <f>AVERAGE(G65:I65)</f>
        <v>99.804197226666687</v>
      </c>
    </row>
  </sheetData>
  <autoFilter ref="B1:J65" xr:uid="{00000000-0001-0000-0000-000000000000}">
    <sortState xmlns:xlrd2="http://schemas.microsoft.com/office/spreadsheetml/2017/richdata2" ref="B2:J65">
      <sortCondition ref="F1:F65"/>
    </sortState>
  </autoFilter>
  <sortState xmlns:xlrd2="http://schemas.microsoft.com/office/spreadsheetml/2017/richdata2" ref="A2:J65">
    <sortCondition ref="A2:A65"/>
    <sortCondition ref="J2:J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2025-08-31T05:34:57Z</dcterms:created>
  <dcterms:modified xsi:type="dcterms:W3CDTF">2025-09-01T02:29:22Z</dcterms:modified>
</cp:coreProperties>
</file>