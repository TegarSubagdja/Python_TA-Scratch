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Rekap\"/>
    </mc:Choice>
  </mc:AlternateContent>
  <xr:revisionPtr revIDLastSave="0" documentId="13_ncr:1_{64A4CF30-F0B4-48B1-9E29-B12D8FC383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Sheet1!$A$1:$H$49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1" i="1"/>
  <c r="H14" i="1"/>
  <c r="H15" i="1"/>
  <c r="H24" i="1"/>
  <c r="H25" i="1"/>
  <c r="H26" i="1"/>
  <c r="H27" i="1"/>
  <c r="H28" i="1"/>
  <c r="H29" i="1"/>
  <c r="H31" i="1"/>
  <c r="H34" i="1"/>
  <c r="H35" i="1"/>
  <c r="H44" i="1"/>
  <c r="H45" i="1"/>
  <c r="H46" i="1"/>
  <c r="H47" i="1"/>
  <c r="H48" i="1"/>
  <c r="H49" i="1"/>
  <c r="I3" i="1"/>
  <c r="H3" i="1" s="1"/>
  <c r="I4" i="1"/>
  <c r="I5" i="1"/>
  <c r="I6" i="1"/>
  <c r="I7" i="1"/>
  <c r="I8" i="1"/>
  <c r="I9" i="1"/>
  <c r="I10" i="1"/>
  <c r="H10" i="1" s="1"/>
  <c r="I11" i="1"/>
  <c r="I12" i="1"/>
  <c r="H12" i="1" s="1"/>
  <c r="I13" i="1"/>
  <c r="H13" i="1" s="1"/>
  <c r="I14" i="1"/>
  <c r="I15" i="1"/>
  <c r="I16" i="1"/>
  <c r="H16" i="1" s="1"/>
  <c r="I17" i="1"/>
  <c r="H17" i="1" s="1"/>
  <c r="I18" i="1"/>
  <c r="H18" i="1" s="1"/>
  <c r="I19" i="1"/>
  <c r="H19" i="1" s="1"/>
  <c r="I20" i="1"/>
  <c r="H20" i="1" s="1"/>
  <c r="I21" i="1"/>
  <c r="H21" i="1" s="1"/>
  <c r="I22" i="1"/>
  <c r="H22" i="1" s="1"/>
  <c r="I23" i="1"/>
  <c r="H23" i="1" s="1"/>
  <c r="I24" i="1"/>
  <c r="I25" i="1"/>
  <c r="I26" i="1"/>
  <c r="I27" i="1"/>
  <c r="I28" i="1"/>
  <c r="I29" i="1"/>
  <c r="I30" i="1"/>
  <c r="H30" i="1" s="1"/>
  <c r="I31" i="1"/>
  <c r="I32" i="1"/>
  <c r="H32" i="1" s="1"/>
  <c r="I33" i="1"/>
  <c r="H33" i="1" s="1"/>
  <c r="I34" i="1"/>
  <c r="I35" i="1"/>
  <c r="I36" i="1"/>
  <c r="H36" i="1" s="1"/>
  <c r="I37" i="1"/>
  <c r="H37" i="1" s="1"/>
  <c r="I38" i="1"/>
  <c r="H38" i="1" s="1"/>
  <c r="I39" i="1"/>
  <c r="H39" i="1" s="1"/>
  <c r="I40" i="1"/>
  <c r="H40" i="1" s="1"/>
  <c r="I41" i="1"/>
  <c r="H41" i="1" s="1"/>
  <c r="I42" i="1"/>
  <c r="H42" i="1" s="1"/>
  <c r="I43" i="1"/>
  <c r="H43" i="1" s="1"/>
  <c r="I44" i="1"/>
  <c r="I45" i="1"/>
  <c r="I46" i="1"/>
  <c r="I47" i="1"/>
  <c r="I48" i="1"/>
  <c r="I49" i="1"/>
  <c r="I2" i="1"/>
  <c r="H2" i="1" s="1"/>
</calcChain>
</file>

<file path=xl/sharedStrings.xml><?xml version="1.0" encoding="utf-8"?>
<sst xmlns="http://schemas.openxmlformats.org/spreadsheetml/2006/main" count="57" uniqueCount="57">
  <si>
    <t>Kombinasi</t>
  </si>
  <si>
    <t>Waktu Pencarian</t>
  </si>
  <si>
    <t>Panjang Jalur</t>
  </si>
  <si>
    <t>Panjang Jalur Real</t>
  </si>
  <si>
    <t>Jumlah Open</t>
  </si>
  <si>
    <t>Jumlah Close</t>
  </si>
  <si>
    <t>Jumlah Belok</t>
  </si>
  <si>
    <t>avg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</si>
  <si>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</si>
  <si>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</si>
  <si>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</si>
  <si>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</si>
  <si>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</si>
  <si>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</si>
  <si>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</si>
  <si>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</si>
  <si>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</si>
  <si>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</si>
  <si>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</si>
  <si>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</si>
  <si>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</si>
  <si>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</si>
  <si>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</si>
  <si>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</si>
  <si>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</si>
  <si>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</si>
  <si>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</si>
  <si>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</si>
  <si>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</si>
  <si>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</si>
  <si>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</si>
  <si>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</si>
  <si>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</si>
  <si>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</si>
  <si>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</si>
  <si>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</si>
  <si>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</si>
  <si>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</si>
  <si>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</si>
  <si>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</si>
  <si>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</si>
  <si>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</si>
  <si>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JPS-BRC-PPO</t>
  </si>
  <si>
    <t>JPS-GL-BRC</t>
  </si>
  <si>
    <t>JPS-GL-PPO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</si>
  <si>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</si>
  <si>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</si>
  <si>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</si>
  <si>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</si>
  <si>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</si>
  <si>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</si>
  <si>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JPS-BDS-GL-BRC</t>
  </si>
  <si>
    <t>JPS-BDS-GL-PPO</t>
  </si>
  <si>
    <t>JPS-GL-BRC-PPO</t>
  </si>
  <si>
    <t>BDS-GL-BRC-TPF-PPO</t>
  </si>
  <si>
    <t>JPS-BDS-GL-BRC-PPO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</si>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</sst>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2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tabSelected="1" workbookViewId="0">
      <selection activeCell="N24" sqref="N24"/>
    </sheetView>
  </sheetViews>
  <sheetFormatPr defaultRowHeight="14.4" x14ac:dyDescent="0.3"/>
  <cols>
    <col min="1" max="1" width="18.77734375" bestFit="1" customWidth="1"/>
    <col min="2" max="2" width="19.88671875" bestFit="1" customWidth="1"/>
    <col min="3" max="3" width="16.6640625" bestFit="1" customWidth="1"/>
    <col min="4" max="4" width="20.77734375" bestFit="1" customWidth="1"/>
    <col min="5" max="5" width="16.44140625" bestFit="1" customWidth="1"/>
    <col min="6" max="6" width="16.33203125" bestFit="1" customWidth="1"/>
    <col min="7" max="7" width="16.5546875" bestFit="1" customWidth="1"/>
    <col min="8" max="8" width="12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56</v>
      </c>
    </row>
    <row r="2" spans="1:9" x14ac:dyDescent="0.3">
      <c r="A2" t="s">
        <v>42</v>
      </c>
      <c r="B2">
        <v>3.5538050000000002E-3</v>
      </c>
      <c r="C2">
        <v>10.6</v>
      </c>
      <c r="D2">
        <v>96.016010671277556</v>
      </c>
      <c r="E2">
        <v>11.25</v>
      </c>
      <c r="F2">
        <v>24.15</v>
      </c>
      <c r="G2">
        <v>8.6</v>
      </c>
      <c r="H2">
        <f>AVERAGE(B2:D2,I2,G2)</f>
        <v>30.123912895255511</v>
      </c>
      <c r="I2">
        <f>SUM(E2:F2)</f>
        <v>35.4</v>
      </c>
    </row>
    <row r="3" spans="1:9" x14ac:dyDescent="0.3">
      <c r="A3" t="s">
        <v>53</v>
      </c>
      <c r="B3">
        <v>3.8192349999999998E-3</v>
      </c>
      <c r="C3">
        <v>10.6</v>
      </c>
      <c r="D3">
        <v>95.476076850460046</v>
      </c>
      <c r="E3">
        <v>12.6</v>
      </c>
      <c r="F3">
        <v>25.1</v>
      </c>
      <c r="G3">
        <v>8.6</v>
      </c>
      <c r="H3">
        <f>AVERAGE(B3:D3,I3,G3)</f>
        <v>30.475979217092011</v>
      </c>
      <c r="I3">
        <f t="shared" ref="I3:I49" si="0">SUM(E3:F3)</f>
        <v>37.700000000000003</v>
      </c>
    </row>
    <row r="4" spans="1:9" x14ac:dyDescent="0.3">
      <c r="A4" t="s">
        <v>41</v>
      </c>
      <c r="B4">
        <v>5.1365749999999991E-3</v>
      </c>
      <c r="C4">
        <v>9.6</v>
      </c>
      <c r="D4">
        <v>92.153551207108251</v>
      </c>
      <c r="E4">
        <v>16.75</v>
      </c>
      <c r="F4">
        <v>32.9</v>
      </c>
      <c r="G4">
        <v>7.6</v>
      </c>
      <c r="H4">
        <f>AVERAGE(B4:D4,I4,G4)</f>
        <v>31.801737556421649</v>
      </c>
      <c r="I4">
        <f t="shared" si="0"/>
        <v>49.65</v>
      </c>
    </row>
    <row r="5" spans="1:9" s="4" customFormat="1" x14ac:dyDescent="0.3">
      <c r="A5" s="4" t="s">
        <v>50</v>
      </c>
      <c r="B5" s="4">
        <v>5.0321199999999993E-3</v>
      </c>
      <c r="C5" s="4">
        <v>10.65</v>
      </c>
      <c r="D5" s="4">
        <v>94.328115771513964</v>
      </c>
      <c r="E5" s="4">
        <v>16.7</v>
      </c>
      <c r="F5" s="4">
        <v>29.65</v>
      </c>
      <c r="G5" s="4">
        <v>8.6</v>
      </c>
      <c r="H5" s="4">
        <f>AVERAGE(B5:D5,I5,G5)</f>
        <v>31.986629578302789</v>
      </c>
      <c r="I5" s="4">
        <f t="shared" si="0"/>
        <v>46.349999999999994</v>
      </c>
    </row>
    <row r="6" spans="1:9" x14ac:dyDescent="0.3">
      <c r="A6" t="s">
        <v>25</v>
      </c>
      <c r="B6">
        <v>3.4819349999999998E-3</v>
      </c>
      <c r="C6">
        <v>18.8</v>
      </c>
      <c r="D6">
        <v>97.770266889194104</v>
      </c>
      <c r="E6">
        <v>11.25</v>
      </c>
      <c r="F6">
        <v>24.15</v>
      </c>
      <c r="G6">
        <v>10.45</v>
      </c>
      <c r="H6">
        <f>AVERAGE(B6:D6,I6,G6)</f>
        <v>32.484749764838817</v>
      </c>
      <c r="I6">
        <f t="shared" si="0"/>
        <v>35.4</v>
      </c>
    </row>
    <row r="7" spans="1:9" x14ac:dyDescent="0.3">
      <c r="A7" t="s">
        <v>44</v>
      </c>
      <c r="B7">
        <v>5.5173499999999999E-3</v>
      </c>
      <c r="C7">
        <v>9.75</v>
      </c>
      <c r="D7">
        <v>93.035619363899173</v>
      </c>
      <c r="E7">
        <v>15.6</v>
      </c>
      <c r="F7">
        <v>38.1</v>
      </c>
      <c r="G7">
        <v>7.75</v>
      </c>
      <c r="H7">
        <f>AVERAGE(B7:D7,I7,G7)</f>
        <v>32.848227342779836</v>
      </c>
      <c r="I7">
        <f t="shared" si="0"/>
        <v>53.7</v>
      </c>
    </row>
    <row r="8" spans="1:9" x14ac:dyDescent="0.3">
      <c r="A8" t="s">
        <v>43</v>
      </c>
      <c r="B8">
        <v>3.7062649999999998E-3</v>
      </c>
      <c r="C8">
        <v>19.05</v>
      </c>
      <c r="D8">
        <v>97.36021638285527</v>
      </c>
      <c r="E8">
        <v>12.6</v>
      </c>
      <c r="F8">
        <v>25.1</v>
      </c>
      <c r="G8">
        <v>10.4</v>
      </c>
      <c r="H8">
        <f>AVERAGE(B8:D8,I8,G8)</f>
        <v>32.902784529571058</v>
      </c>
      <c r="I8">
        <f t="shared" si="0"/>
        <v>37.700000000000003</v>
      </c>
    </row>
    <row r="9" spans="1:9" s="3" customFormat="1" x14ac:dyDescent="0.3">
      <c r="A9" s="3" t="s">
        <v>55</v>
      </c>
      <c r="B9" s="3">
        <v>5.347494999999999E-3</v>
      </c>
      <c r="C9" s="3">
        <v>10.75</v>
      </c>
      <c r="D9" s="3">
        <v>94.585481455216581</v>
      </c>
      <c r="E9" s="3">
        <v>18.95</v>
      </c>
      <c r="F9" s="3">
        <v>31.6</v>
      </c>
      <c r="G9" s="3">
        <v>8.6999999999999993</v>
      </c>
      <c r="H9" s="3">
        <f>AVERAGE(B9:D9,I9,G9)</f>
        <v>32.918165790043318</v>
      </c>
      <c r="I9" s="3">
        <f t="shared" si="0"/>
        <v>50.55</v>
      </c>
    </row>
    <row r="10" spans="1:9" x14ac:dyDescent="0.3">
      <c r="A10" t="s">
        <v>27</v>
      </c>
      <c r="B10">
        <v>6.58598E-3</v>
      </c>
      <c r="C10">
        <v>9.6</v>
      </c>
      <c r="D10">
        <v>93.518389449430373</v>
      </c>
      <c r="E10">
        <v>13.1</v>
      </c>
      <c r="F10">
        <v>43</v>
      </c>
      <c r="G10">
        <v>7.6</v>
      </c>
      <c r="H10">
        <f>AVERAGE(B10:D10,I10,G10)</f>
        <v>33.364995085886072</v>
      </c>
      <c r="I10">
        <f t="shared" si="0"/>
        <v>56.1</v>
      </c>
    </row>
    <row r="11" spans="1:9" x14ac:dyDescent="0.3">
      <c r="A11" t="s">
        <v>52</v>
      </c>
      <c r="B11">
        <v>5.7534149999999996E-3</v>
      </c>
      <c r="C11">
        <v>10.65</v>
      </c>
      <c r="D11">
        <v>94.174862359668438</v>
      </c>
      <c r="E11">
        <v>19.7</v>
      </c>
      <c r="F11">
        <v>35.9</v>
      </c>
      <c r="G11">
        <v>8.5500000000000007</v>
      </c>
      <c r="H11">
        <f>AVERAGE(B11:D11,I11,G11)</f>
        <v>33.796123154933689</v>
      </c>
      <c r="I11">
        <f t="shared" si="0"/>
        <v>55.599999999999994</v>
      </c>
    </row>
    <row r="12" spans="1:9" x14ac:dyDescent="0.3">
      <c r="A12" t="s">
        <v>24</v>
      </c>
      <c r="B12">
        <v>5.0736500000000007E-3</v>
      </c>
      <c r="C12">
        <v>18.8</v>
      </c>
      <c r="D12">
        <v>94.587781310466312</v>
      </c>
      <c r="E12">
        <v>16.75</v>
      </c>
      <c r="F12">
        <v>32.9</v>
      </c>
      <c r="G12">
        <v>9.4</v>
      </c>
      <c r="H12">
        <f>AVERAGE(B12:D12,I12,G12)</f>
        <v>34.488570992093265</v>
      </c>
      <c r="I12">
        <f t="shared" si="0"/>
        <v>49.65</v>
      </c>
    </row>
    <row r="13" spans="1:9" x14ac:dyDescent="0.3">
      <c r="A13" t="s">
        <v>39</v>
      </c>
      <c r="B13">
        <v>4.9429149999999991E-3</v>
      </c>
      <c r="C13">
        <v>18.8</v>
      </c>
      <c r="D13">
        <v>97.089505704736624</v>
      </c>
      <c r="E13">
        <v>16.7</v>
      </c>
      <c r="F13">
        <v>29.65</v>
      </c>
      <c r="G13">
        <v>10.6</v>
      </c>
      <c r="H13">
        <f>AVERAGE(B13:D13,I13,G13)</f>
        <v>34.568889723947322</v>
      </c>
      <c r="I13">
        <f t="shared" si="0"/>
        <v>46.349999999999994</v>
      </c>
    </row>
    <row r="14" spans="1:9" x14ac:dyDescent="0.3">
      <c r="A14" t="s">
        <v>26</v>
      </c>
      <c r="B14">
        <v>5.40779E-3</v>
      </c>
      <c r="C14">
        <v>18.3</v>
      </c>
      <c r="D14">
        <v>94.617070632347648</v>
      </c>
      <c r="E14">
        <v>15.6</v>
      </c>
      <c r="F14">
        <v>38.1</v>
      </c>
      <c r="G14">
        <v>9.4</v>
      </c>
      <c r="H14">
        <f>AVERAGE(B14:D14,I14,G14)</f>
        <v>35.204495684469535</v>
      </c>
      <c r="I14">
        <f t="shared" si="0"/>
        <v>53.7</v>
      </c>
    </row>
    <row r="15" spans="1:9" x14ac:dyDescent="0.3">
      <c r="A15" t="s">
        <v>12</v>
      </c>
      <c r="B15">
        <v>6.516875000000001E-3</v>
      </c>
      <c r="C15">
        <v>18.149999999999999</v>
      </c>
      <c r="D15">
        <v>94.587781310466312</v>
      </c>
      <c r="E15">
        <v>13.1</v>
      </c>
      <c r="F15">
        <v>43</v>
      </c>
      <c r="G15">
        <v>8.9</v>
      </c>
      <c r="H15">
        <f>AVERAGE(B15:D15,I15,G15)</f>
        <v>35.548859637093258</v>
      </c>
      <c r="I15">
        <f t="shared" si="0"/>
        <v>56.1</v>
      </c>
    </row>
    <row r="16" spans="1:9" x14ac:dyDescent="0.3">
      <c r="A16" t="s">
        <v>51</v>
      </c>
      <c r="B16">
        <v>5.2956100000000001E-3</v>
      </c>
      <c r="C16">
        <v>19.350000000000001</v>
      </c>
      <c r="D16">
        <v>97.518795026617951</v>
      </c>
      <c r="E16">
        <v>18.95</v>
      </c>
      <c r="F16">
        <v>31.6</v>
      </c>
      <c r="G16">
        <v>11.15</v>
      </c>
      <c r="H16">
        <f>AVERAGE(B16:D16,I16,G16)</f>
        <v>35.714818127323596</v>
      </c>
      <c r="I16">
        <f t="shared" si="0"/>
        <v>50.55</v>
      </c>
    </row>
    <row r="17" spans="1:9" x14ac:dyDescent="0.3">
      <c r="A17" t="s">
        <v>40</v>
      </c>
      <c r="B17">
        <v>5.6697400000000012E-3</v>
      </c>
      <c r="C17">
        <v>19.350000000000001</v>
      </c>
      <c r="D17">
        <v>96.950165876516422</v>
      </c>
      <c r="E17">
        <v>19.7</v>
      </c>
      <c r="F17">
        <v>35.9</v>
      </c>
      <c r="G17">
        <v>11.05</v>
      </c>
      <c r="H17">
        <f>AVERAGE(B17:D17,I17,G17)</f>
        <v>36.591167123303286</v>
      </c>
      <c r="I17">
        <f t="shared" si="0"/>
        <v>55.599999999999994</v>
      </c>
    </row>
    <row r="18" spans="1:9" x14ac:dyDescent="0.3">
      <c r="A18" t="s">
        <v>19</v>
      </c>
      <c r="B18">
        <v>1.9321854999999999E-2</v>
      </c>
      <c r="C18">
        <v>10.7</v>
      </c>
      <c r="D18">
        <v>93.317458120376244</v>
      </c>
      <c r="E18">
        <v>229.9</v>
      </c>
      <c r="F18">
        <v>321.25</v>
      </c>
      <c r="G18">
        <v>8.5500000000000007</v>
      </c>
      <c r="H18">
        <f>AVERAGE(B18:D18,I18,G18)</f>
        <v>132.74735599507522</v>
      </c>
      <c r="I18">
        <f t="shared" si="0"/>
        <v>551.15</v>
      </c>
    </row>
    <row r="19" spans="1:9" x14ac:dyDescent="0.3">
      <c r="A19" t="s">
        <v>29</v>
      </c>
      <c r="B19">
        <v>7.0799299999999999E-3</v>
      </c>
      <c r="C19">
        <v>10.7</v>
      </c>
      <c r="D19">
        <v>92.562450559071422</v>
      </c>
      <c r="E19">
        <v>253.6</v>
      </c>
      <c r="F19">
        <v>305</v>
      </c>
      <c r="G19">
        <v>8.5500000000000007</v>
      </c>
      <c r="H19">
        <f>AVERAGE(B19:D19,I19,G19)</f>
        <v>134.08390609781426</v>
      </c>
      <c r="I19">
        <f t="shared" si="0"/>
        <v>558.6</v>
      </c>
    </row>
    <row r="20" spans="1:9" x14ac:dyDescent="0.3">
      <c r="A20" t="s">
        <v>35</v>
      </c>
      <c r="B20">
        <v>2.035992E-2</v>
      </c>
      <c r="C20">
        <v>10.25</v>
      </c>
      <c r="D20">
        <v>93.808740257621338</v>
      </c>
      <c r="E20">
        <v>224.35</v>
      </c>
      <c r="F20">
        <v>343.05</v>
      </c>
      <c r="G20">
        <v>8.15</v>
      </c>
      <c r="H20">
        <f>AVERAGE(B20:D20,I20,G20)</f>
        <v>135.92582003552428</v>
      </c>
      <c r="I20">
        <f t="shared" si="0"/>
        <v>567.4</v>
      </c>
    </row>
    <row r="21" spans="1:9" x14ac:dyDescent="0.3">
      <c r="A21" t="s">
        <v>45</v>
      </c>
      <c r="B21">
        <v>7.6738649999999993E-3</v>
      </c>
      <c r="C21">
        <v>10.3</v>
      </c>
      <c r="D21">
        <v>93.017570170595747</v>
      </c>
      <c r="E21">
        <v>239.4</v>
      </c>
      <c r="F21">
        <v>337.2</v>
      </c>
      <c r="G21">
        <v>8.15</v>
      </c>
      <c r="H21">
        <f>AVERAGE(B21:D21,I21,G21)</f>
        <v>137.61504880711917</v>
      </c>
      <c r="I21">
        <f t="shared" si="0"/>
        <v>576.6</v>
      </c>
    </row>
    <row r="22" spans="1:9" x14ac:dyDescent="0.3">
      <c r="A22" t="s">
        <v>49</v>
      </c>
      <c r="B22">
        <v>2.3664145000000001E-2</v>
      </c>
      <c r="C22">
        <v>10.45</v>
      </c>
      <c r="D22">
        <v>93.373641259169105</v>
      </c>
      <c r="E22">
        <v>228.55</v>
      </c>
      <c r="F22">
        <v>382.7</v>
      </c>
      <c r="G22">
        <v>8.4</v>
      </c>
      <c r="H22">
        <f>AVERAGE(B22:D22,I22,G22)</f>
        <v>144.69946108083383</v>
      </c>
      <c r="I22">
        <f t="shared" si="0"/>
        <v>611.25</v>
      </c>
    </row>
    <row r="23" spans="1:9" x14ac:dyDescent="0.3">
      <c r="A23" t="s">
        <v>36</v>
      </c>
      <c r="B23">
        <v>2.4732130000000001E-2</v>
      </c>
      <c r="C23">
        <v>10.7</v>
      </c>
      <c r="D23">
        <v>93.639007624726418</v>
      </c>
      <c r="E23">
        <v>227.45</v>
      </c>
      <c r="F23">
        <v>396.2</v>
      </c>
      <c r="G23">
        <v>8.6999999999999993</v>
      </c>
      <c r="H23">
        <f>AVERAGE(B23:D23,I23,G23)</f>
        <v>147.3427479509453</v>
      </c>
      <c r="I23">
        <f t="shared" si="0"/>
        <v>623.65</v>
      </c>
    </row>
    <row r="24" spans="1:9" x14ac:dyDescent="0.3">
      <c r="A24" t="s">
        <v>15</v>
      </c>
      <c r="B24">
        <v>6.7369350000000012E-3</v>
      </c>
      <c r="C24">
        <v>81.25</v>
      </c>
      <c r="D24">
        <v>97.377730804127481</v>
      </c>
      <c r="E24">
        <v>253.6</v>
      </c>
      <c r="F24">
        <v>305</v>
      </c>
      <c r="G24">
        <v>14.8</v>
      </c>
      <c r="H24">
        <f>AVERAGE(B24:D24,I24,G24)</f>
        <v>150.40689354782549</v>
      </c>
      <c r="I24">
        <f t="shared" si="0"/>
        <v>558.6</v>
      </c>
    </row>
    <row r="25" spans="1:9" x14ac:dyDescent="0.3">
      <c r="A25" t="s">
        <v>10</v>
      </c>
      <c r="B25">
        <v>1.9129275000000001E-2</v>
      </c>
      <c r="C25">
        <v>84.2</v>
      </c>
      <c r="D25">
        <v>98.691587232753776</v>
      </c>
      <c r="E25">
        <v>229.9</v>
      </c>
      <c r="F25">
        <v>321.25</v>
      </c>
      <c r="G25">
        <v>18</v>
      </c>
      <c r="H25">
        <f>AVERAGE(B25:D25,I25,G25)</f>
        <v>150.41214330155077</v>
      </c>
      <c r="I25">
        <f t="shared" si="0"/>
        <v>551.15</v>
      </c>
    </row>
    <row r="26" spans="1:9" x14ac:dyDescent="0.3">
      <c r="A26" t="s">
        <v>20</v>
      </c>
      <c r="B26">
        <v>1.9971699999999998E-2</v>
      </c>
      <c r="C26">
        <v>85.35</v>
      </c>
      <c r="D26">
        <v>99.489505704736615</v>
      </c>
      <c r="E26">
        <v>224.35</v>
      </c>
      <c r="F26">
        <v>343.05</v>
      </c>
      <c r="G26">
        <v>14.4</v>
      </c>
      <c r="H26">
        <f>AVERAGE(B26:D26,I26,G26)</f>
        <v>153.33189548094731</v>
      </c>
      <c r="I26">
        <f t="shared" si="0"/>
        <v>567.4</v>
      </c>
    </row>
    <row r="27" spans="1:9" x14ac:dyDescent="0.3">
      <c r="A27" t="s">
        <v>30</v>
      </c>
      <c r="B27">
        <v>7.3806150000000001E-3</v>
      </c>
      <c r="C27">
        <v>82.1</v>
      </c>
      <c r="D27">
        <v>97.792806563635708</v>
      </c>
      <c r="E27">
        <v>239.4</v>
      </c>
      <c r="F27">
        <v>337.2</v>
      </c>
      <c r="G27">
        <v>13.4</v>
      </c>
      <c r="H27">
        <f>AVERAGE(B27:D27,I27,G27)</f>
        <v>153.98003743572716</v>
      </c>
      <c r="I27">
        <f t="shared" si="0"/>
        <v>576.6</v>
      </c>
    </row>
    <row r="28" spans="1:9" s="5" customFormat="1" x14ac:dyDescent="0.3">
      <c r="A28" s="5" t="s">
        <v>54</v>
      </c>
      <c r="B28" s="5">
        <v>1.2139219999999999E-2</v>
      </c>
      <c r="C28" s="5">
        <v>10.65</v>
      </c>
      <c r="D28" s="5">
        <v>93.458215258242632</v>
      </c>
      <c r="E28" s="5">
        <v>251.4</v>
      </c>
      <c r="F28" s="5">
        <v>435.1</v>
      </c>
      <c r="G28" s="5">
        <v>8.6</v>
      </c>
      <c r="H28" s="5">
        <f>AVERAGE(B28:D28,I28,G28)</f>
        <v>159.84407089564854</v>
      </c>
      <c r="I28" s="5">
        <f t="shared" si="0"/>
        <v>686.5</v>
      </c>
    </row>
    <row r="29" spans="1:9" x14ac:dyDescent="0.3">
      <c r="A29" t="s">
        <v>46</v>
      </c>
      <c r="B29">
        <v>1.2880265E-2</v>
      </c>
      <c r="C29">
        <v>10.9</v>
      </c>
      <c r="D29">
        <v>93.817365934535275</v>
      </c>
      <c r="E29">
        <v>237.9</v>
      </c>
      <c r="F29">
        <v>450.9</v>
      </c>
      <c r="G29">
        <v>8.9</v>
      </c>
      <c r="H29">
        <f>AVERAGE(B29:D29,I29,G29)</f>
        <v>160.48604923990703</v>
      </c>
      <c r="I29">
        <f t="shared" si="0"/>
        <v>688.8</v>
      </c>
    </row>
    <row r="30" spans="1:9" x14ac:dyDescent="0.3">
      <c r="A30" t="s">
        <v>37</v>
      </c>
      <c r="B30">
        <v>2.3316819999999999E-2</v>
      </c>
      <c r="C30">
        <v>84</v>
      </c>
      <c r="D30">
        <v>98.20163773909259</v>
      </c>
      <c r="E30">
        <v>228.55</v>
      </c>
      <c r="F30">
        <v>382.7</v>
      </c>
      <c r="G30">
        <v>14.35</v>
      </c>
      <c r="H30">
        <f>AVERAGE(B30:D30,I30,G30)</f>
        <v>161.56499091181851</v>
      </c>
      <c r="I30">
        <f t="shared" si="0"/>
        <v>611.25</v>
      </c>
    </row>
    <row r="31" spans="1:9" x14ac:dyDescent="0.3">
      <c r="A31" t="s">
        <v>21</v>
      </c>
      <c r="B31">
        <v>2.4479785E-2</v>
      </c>
      <c r="C31">
        <v>84.8</v>
      </c>
      <c r="D31">
        <v>98.835952314143356</v>
      </c>
      <c r="E31">
        <v>227.45</v>
      </c>
      <c r="F31">
        <v>396.2</v>
      </c>
      <c r="G31">
        <v>14.85</v>
      </c>
      <c r="H31">
        <f>AVERAGE(B31:D31,I31,G31)</f>
        <v>164.43208641982866</v>
      </c>
      <c r="I31">
        <f t="shared" si="0"/>
        <v>623.65</v>
      </c>
    </row>
    <row r="32" spans="1:9" x14ac:dyDescent="0.3">
      <c r="A32" t="s">
        <v>47</v>
      </c>
      <c r="B32">
        <v>1.186721E-2</v>
      </c>
      <c r="C32">
        <v>83.7</v>
      </c>
      <c r="D32">
        <v>98.440115370177608</v>
      </c>
      <c r="E32">
        <v>251.4</v>
      </c>
      <c r="F32">
        <v>435.1</v>
      </c>
      <c r="G32">
        <v>14.95</v>
      </c>
      <c r="H32">
        <f>AVERAGE(B32:D32,I32,G32)</f>
        <v>176.72039651603555</v>
      </c>
      <c r="I32">
        <f t="shared" si="0"/>
        <v>686.5</v>
      </c>
    </row>
    <row r="33" spans="1:9" x14ac:dyDescent="0.3">
      <c r="A33" t="s">
        <v>31</v>
      </c>
      <c r="B33">
        <v>1.2461885000000001E-2</v>
      </c>
      <c r="C33">
        <v>84.7</v>
      </c>
      <c r="D33">
        <v>98.984480451567194</v>
      </c>
      <c r="E33">
        <v>237.9</v>
      </c>
      <c r="F33">
        <v>450.9</v>
      </c>
      <c r="G33">
        <v>15.35</v>
      </c>
      <c r="H33">
        <f>AVERAGE(B33:D33,I33,G33)</f>
        <v>177.56938846731344</v>
      </c>
      <c r="I33">
        <f t="shared" si="0"/>
        <v>688.8</v>
      </c>
    </row>
    <row r="34" spans="1:9" x14ac:dyDescent="0.3">
      <c r="A34" t="s">
        <v>32</v>
      </c>
      <c r="B34">
        <v>7.4550449999999987E-3</v>
      </c>
      <c r="C34">
        <v>11.35</v>
      </c>
      <c r="D34">
        <v>92.441380048841197</v>
      </c>
      <c r="E34">
        <v>235.25</v>
      </c>
      <c r="F34">
        <v>850.55</v>
      </c>
      <c r="G34">
        <v>9.0500000000000007</v>
      </c>
      <c r="H34">
        <f>AVERAGE(B34:D34,I34,G34)</f>
        <v>239.72976701876823</v>
      </c>
      <c r="I34">
        <f t="shared" si="0"/>
        <v>1085.8</v>
      </c>
    </row>
    <row r="35" spans="1:9" x14ac:dyDescent="0.3">
      <c r="A35" t="s">
        <v>48</v>
      </c>
      <c r="B35">
        <v>7.7811349999999998E-3</v>
      </c>
      <c r="C35">
        <v>11.3</v>
      </c>
      <c r="D35">
        <v>92.479280401417569</v>
      </c>
      <c r="E35">
        <v>237.25</v>
      </c>
      <c r="F35">
        <v>859.2</v>
      </c>
      <c r="G35">
        <v>9.0500000000000007</v>
      </c>
      <c r="H35">
        <f>AVERAGE(B35:D35,I35,G35)</f>
        <v>241.85741230728348</v>
      </c>
      <c r="I35">
        <f t="shared" si="0"/>
        <v>1096.45</v>
      </c>
    </row>
    <row r="36" spans="1:9" x14ac:dyDescent="0.3">
      <c r="A36" t="s">
        <v>22</v>
      </c>
      <c r="B36">
        <v>3.2635659999999997E-2</v>
      </c>
      <c r="C36">
        <v>10.1</v>
      </c>
      <c r="D36">
        <v>90.308495279136409</v>
      </c>
      <c r="E36">
        <v>252.35</v>
      </c>
      <c r="F36">
        <v>899</v>
      </c>
      <c r="G36">
        <v>8.1</v>
      </c>
      <c r="H36">
        <f>AVERAGE(B36:D36,I36,G36)</f>
        <v>251.97822618782726</v>
      </c>
      <c r="I36">
        <f t="shared" si="0"/>
        <v>1151.3499999999999</v>
      </c>
    </row>
    <row r="37" spans="1:9" x14ac:dyDescent="0.3">
      <c r="A37" t="s">
        <v>16</v>
      </c>
      <c r="B37">
        <v>7.1972900000000003E-3</v>
      </c>
      <c r="C37">
        <v>82.7</v>
      </c>
      <c r="D37">
        <v>97.398694013940286</v>
      </c>
      <c r="E37">
        <v>235.25</v>
      </c>
      <c r="F37">
        <v>850.55</v>
      </c>
      <c r="G37">
        <v>16.25</v>
      </c>
      <c r="H37">
        <f>AVERAGE(B37:D37,I37,G37)</f>
        <v>256.43117826078804</v>
      </c>
      <c r="I37">
        <f t="shared" si="0"/>
        <v>1085.8</v>
      </c>
    </row>
    <row r="38" spans="1:9" x14ac:dyDescent="0.3">
      <c r="A38" t="s">
        <v>38</v>
      </c>
      <c r="B38">
        <v>3.1090300000000001E-2</v>
      </c>
      <c r="C38">
        <v>10.25</v>
      </c>
      <c r="D38">
        <v>90.474991538083501</v>
      </c>
      <c r="E38">
        <v>270.85000000000002</v>
      </c>
      <c r="F38">
        <v>909.3</v>
      </c>
      <c r="G38">
        <v>8.1999999999999993</v>
      </c>
      <c r="H38">
        <f>AVERAGE(B38:D38,I38,G38)</f>
        <v>257.82121636761673</v>
      </c>
      <c r="I38">
        <f t="shared" si="0"/>
        <v>1180.1500000000001</v>
      </c>
    </row>
    <row r="39" spans="1:9" x14ac:dyDescent="0.3">
      <c r="A39" t="s">
        <v>33</v>
      </c>
      <c r="B39">
        <v>7.5326649999999992E-3</v>
      </c>
      <c r="C39">
        <v>82.9</v>
      </c>
      <c r="D39">
        <v>97.640115370177611</v>
      </c>
      <c r="E39">
        <v>237.25</v>
      </c>
      <c r="F39">
        <v>859.2</v>
      </c>
      <c r="G39">
        <v>16.350000000000001</v>
      </c>
      <c r="H39">
        <f>AVERAGE(B39:D39,I39,G39)</f>
        <v>258.66952960703554</v>
      </c>
      <c r="I39">
        <f t="shared" si="0"/>
        <v>1096.45</v>
      </c>
    </row>
    <row r="40" spans="1:9" x14ac:dyDescent="0.3">
      <c r="A40" t="s">
        <v>11</v>
      </c>
      <c r="B40">
        <v>3.2363935000000003E-2</v>
      </c>
      <c r="C40">
        <v>78.75</v>
      </c>
      <c r="D40">
        <v>94.587781310466312</v>
      </c>
      <c r="E40">
        <v>252.35</v>
      </c>
      <c r="F40">
        <v>899</v>
      </c>
      <c r="G40">
        <v>11.75</v>
      </c>
      <c r="H40">
        <f>AVERAGE(B40:D40,I40,G40)</f>
        <v>267.29402904909324</v>
      </c>
      <c r="I40">
        <f t="shared" si="0"/>
        <v>1151.3499999999999</v>
      </c>
    </row>
    <row r="41" spans="1:9" x14ac:dyDescent="0.3">
      <c r="A41" t="s">
        <v>23</v>
      </c>
      <c r="B41">
        <v>3.0958969999999999E-2</v>
      </c>
      <c r="C41">
        <v>79.05</v>
      </c>
      <c r="D41">
        <v>94.763517241754386</v>
      </c>
      <c r="E41">
        <v>270.85000000000002</v>
      </c>
      <c r="F41">
        <v>909.3</v>
      </c>
      <c r="G41">
        <v>11.95</v>
      </c>
      <c r="H41">
        <f>AVERAGE(B41:D41,I41,G41)</f>
        <v>273.1888952423509</v>
      </c>
      <c r="I41">
        <f t="shared" si="0"/>
        <v>1180.1500000000001</v>
      </c>
    </row>
    <row r="42" spans="1:9" x14ac:dyDescent="0.3">
      <c r="A42" t="s">
        <v>34</v>
      </c>
      <c r="B42">
        <v>6.7585299999999996E-3</v>
      </c>
      <c r="C42">
        <v>9.75</v>
      </c>
      <c r="D42">
        <v>91.238608374820402</v>
      </c>
      <c r="E42">
        <v>262.45</v>
      </c>
      <c r="F42">
        <v>1026.55</v>
      </c>
      <c r="G42">
        <v>7.65</v>
      </c>
      <c r="H42">
        <f>AVERAGE(B42:D42,I42,G42)</f>
        <v>279.52907338096412</v>
      </c>
      <c r="I42">
        <f t="shared" si="0"/>
        <v>1289</v>
      </c>
    </row>
    <row r="43" spans="1:9" x14ac:dyDescent="0.3">
      <c r="A43" t="s">
        <v>18</v>
      </c>
      <c r="B43">
        <v>6.4922350000000007E-3</v>
      </c>
      <c r="C43">
        <v>78.75</v>
      </c>
      <c r="D43">
        <v>95.043416229076726</v>
      </c>
      <c r="E43">
        <v>262.45</v>
      </c>
      <c r="F43">
        <v>1026.55</v>
      </c>
      <c r="G43">
        <v>12.3</v>
      </c>
      <c r="H43">
        <f>AVERAGE(B43:D43,I43,G43)</f>
        <v>295.01998169281535</v>
      </c>
      <c r="I43">
        <f t="shared" si="0"/>
        <v>1289</v>
      </c>
    </row>
    <row r="44" spans="1:9" x14ac:dyDescent="0.3">
      <c r="A44" t="s">
        <v>17</v>
      </c>
      <c r="B44">
        <v>6.3105100000000001E-3</v>
      </c>
      <c r="C44">
        <v>9.65</v>
      </c>
      <c r="D44">
        <v>90.980324983477743</v>
      </c>
      <c r="E44">
        <v>326.8</v>
      </c>
      <c r="F44">
        <v>1056.7</v>
      </c>
      <c r="G44">
        <v>7.5</v>
      </c>
      <c r="H44">
        <f>AVERAGE(B44:D44,I44,G44)</f>
        <v>298.32732709869555</v>
      </c>
      <c r="I44">
        <f t="shared" si="0"/>
        <v>1383.5</v>
      </c>
    </row>
    <row r="45" spans="1:9" x14ac:dyDescent="0.3">
      <c r="A45" t="s">
        <v>9</v>
      </c>
      <c r="B45">
        <v>6.0443949999999993E-3</v>
      </c>
      <c r="C45">
        <v>78.75</v>
      </c>
      <c r="D45">
        <v>95.126258941551356</v>
      </c>
      <c r="E45">
        <v>326.8</v>
      </c>
      <c r="F45">
        <v>1056.7</v>
      </c>
      <c r="G45">
        <v>12.65</v>
      </c>
      <c r="H45">
        <f>AVERAGE(B45:D45,I45,G45)</f>
        <v>314.00646066731031</v>
      </c>
      <c r="I45">
        <f t="shared" si="0"/>
        <v>1383.5</v>
      </c>
    </row>
    <row r="46" spans="1:9" x14ac:dyDescent="0.3">
      <c r="A46" t="s">
        <v>28</v>
      </c>
      <c r="B46">
        <v>5.1722694999999999E-2</v>
      </c>
      <c r="C46">
        <v>9.25</v>
      </c>
      <c r="D46">
        <v>91.432292909943925</v>
      </c>
      <c r="E46">
        <v>225.55</v>
      </c>
      <c r="F46">
        <v>1475.9</v>
      </c>
      <c r="G46">
        <v>7.2</v>
      </c>
      <c r="H46">
        <f>AVERAGE(B46:D46,I46,G46)</f>
        <v>361.87680312098877</v>
      </c>
      <c r="I46">
        <f t="shared" si="0"/>
        <v>1701.45</v>
      </c>
    </row>
    <row r="47" spans="1:9" x14ac:dyDescent="0.3">
      <c r="A47" t="s">
        <v>13</v>
      </c>
      <c r="B47">
        <v>5.3876260000000002E-2</v>
      </c>
      <c r="C47">
        <v>9.1999999999999993</v>
      </c>
      <c r="D47">
        <v>91.808965212939839</v>
      </c>
      <c r="E47">
        <v>263.25</v>
      </c>
      <c r="F47">
        <v>1440.25</v>
      </c>
      <c r="G47">
        <v>7.2</v>
      </c>
      <c r="H47">
        <f>AVERAGE(B47:D47,I47,G47)</f>
        <v>362.35256829458797</v>
      </c>
      <c r="I47">
        <f t="shared" si="0"/>
        <v>1703.5</v>
      </c>
    </row>
    <row r="48" spans="1:9" x14ac:dyDescent="0.3">
      <c r="A48" t="s">
        <v>14</v>
      </c>
      <c r="B48">
        <v>5.1545280000000013E-2</v>
      </c>
      <c r="C48">
        <v>78.75</v>
      </c>
      <c r="D48">
        <v>94.587781310466312</v>
      </c>
      <c r="E48">
        <v>225.55</v>
      </c>
      <c r="F48">
        <v>1475.9</v>
      </c>
      <c r="G48">
        <v>14.15</v>
      </c>
      <c r="H48">
        <f>AVERAGE(B48:D48,I48,G48)</f>
        <v>377.79786531809327</v>
      </c>
      <c r="I48">
        <f t="shared" si="0"/>
        <v>1701.45</v>
      </c>
    </row>
    <row r="49" spans="1:9" x14ac:dyDescent="0.3">
      <c r="A49" t="s">
        <v>8</v>
      </c>
      <c r="B49">
        <v>5.3872875000000001E-2</v>
      </c>
      <c r="C49">
        <v>78.75</v>
      </c>
      <c r="D49">
        <v>94.587781310466312</v>
      </c>
      <c r="E49">
        <v>263.25</v>
      </c>
      <c r="F49">
        <v>1440.25</v>
      </c>
      <c r="G49">
        <v>17.95</v>
      </c>
      <c r="H49">
        <f>AVERAGE(B49:D49,I49,G49)</f>
        <v>378.96833083709328</v>
      </c>
      <c r="I49">
        <f t="shared" si="0"/>
        <v>1703.5</v>
      </c>
    </row>
  </sheetData>
  <autoFilter ref="A1:H49" xr:uid="{00000000-0001-0000-0000-000000000000}">
    <sortState xmlns:xlrd2="http://schemas.microsoft.com/office/spreadsheetml/2017/richdata2" ref="A2:H49">
      <sortCondition ref="H1:H4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2025-07-28T12:45:40Z</dcterms:created>
  <dcterms:modified xsi:type="dcterms:W3CDTF">2025-07-29T00:54:37Z</dcterms:modified>
</cp:coreProperties>
</file>