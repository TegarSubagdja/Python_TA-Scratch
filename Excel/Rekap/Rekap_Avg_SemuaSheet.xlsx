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Rekap\"/>
    </mc:Choice>
  </mc:AlternateContent>
  <xr:revisionPtr revIDLastSave="0" documentId="13_ncr:1_{17757166-27B8-4F8F-A7A2-B5BDFB78D5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Sheet1!$A$1:$K$65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2" i="1"/>
  <c r="K22" i="1"/>
  <c r="K11" i="1"/>
  <c r="K26" i="1"/>
  <c r="K9" i="1"/>
  <c r="K7" i="1"/>
  <c r="K8" i="1"/>
  <c r="K15" i="1"/>
  <c r="K24" i="1"/>
  <c r="K32" i="1"/>
  <c r="K23" i="1"/>
  <c r="K19" i="1"/>
  <c r="K27" i="1"/>
  <c r="K29" i="1"/>
  <c r="K31" i="1"/>
  <c r="K2" i="1"/>
  <c r="K5" i="1"/>
  <c r="K4" i="1"/>
  <c r="K3" i="1"/>
  <c r="K12" i="1"/>
  <c r="K18" i="1"/>
  <c r="K17" i="1"/>
  <c r="K13" i="1"/>
  <c r="K16" i="1"/>
  <c r="K20" i="1"/>
  <c r="K14" i="1"/>
  <c r="K21" i="1"/>
  <c r="K10" i="1"/>
  <c r="K33" i="1"/>
  <c r="K25" i="1"/>
  <c r="K30" i="1"/>
  <c r="K28" i="1"/>
  <c r="K39" i="1"/>
  <c r="K43" i="1"/>
  <c r="K34" i="1"/>
  <c r="K44" i="1"/>
  <c r="K35" i="1"/>
  <c r="K45" i="1"/>
  <c r="K36" i="1"/>
  <c r="K37" i="1"/>
  <c r="K47" i="1"/>
  <c r="K46" i="1"/>
  <c r="K48" i="1"/>
  <c r="K49" i="1"/>
  <c r="K40" i="1"/>
  <c r="K38" i="1"/>
  <c r="K41" i="1"/>
  <c r="K42" i="1"/>
  <c r="K52" i="1"/>
  <c r="K53" i="1"/>
  <c r="K50" i="1"/>
  <c r="K51" i="1"/>
  <c r="K57" i="1"/>
  <c r="K58" i="1"/>
  <c r="K54" i="1"/>
  <c r="K55" i="1"/>
  <c r="K60" i="1"/>
  <c r="K56" i="1"/>
  <c r="K61" i="1"/>
  <c r="K59" i="1"/>
  <c r="K64" i="1"/>
  <c r="K62" i="1"/>
  <c r="K65" i="1"/>
  <c r="K63" i="1"/>
  <c r="K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2" i="1"/>
  <c r="I61" i="1"/>
  <c r="I43" i="1"/>
  <c r="I57" i="1"/>
  <c r="I27" i="1"/>
  <c r="I62" i="1"/>
  <c r="I65" i="1"/>
  <c r="I39" i="1"/>
  <c r="I52" i="1"/>
  <c r="I59" i="1"/>
  <c r="I60" i="1"/>
  <c r="I35" i="1"/>
  <c r="I45" i="1"/>
  <c r="I49" i="1"/>
  <c r="I54" i="1"/>
  <c r="I58" i="1"/>
  <c r="I22" i="1"/>
  <c r="I13" i="1"/>
  <c r="I26" i="1"/>
  <c r="I16" i="1"/>
  <c r="I31" i="1"/>
  <c r="I63" i="1"/>
  <c r="I34" i="1"/>
  <c r="I44" i="1"/>
  <c r="I46" i="1"/>
  <c r="I50" i="1"/>
  <c r="I53" i="1"/>
  <c r="I56" i="1"/>
  <c r="I37" i="1"/>
  <c r="I42" i="1"/>
  <c r="I48" i="1"/>
  <c r="I55" i="1"/>
  <c r="I25" i="1"/>
  <c r="I24" i="1"/>
  <c r="I6" i="1"/>
  <c r="I33" i="1"/>
  <c r="I3" i="1"/>
  <c r="I12" i="1"/>
  <c r="I17" i="1"/>
  <c r="I15" i="1"/>
  <c r="I32" i="1"/>
  <c r="I20" i="1"/>
  <c r="I36" i="1"/>
  <c r="I38" i="1"/>
  <c r="I47" i="1"/>
  <c r="I51" i="1"/>
  <c r="I41" i="1"/>
  <c r="I7" i="1"/>
  <c r="I28" i="1"/>
  <c r="I23" i="1"/>
  <c r="I9" i="1"/>
  <c r="I29" i="1"/>
  <c r="I21" i="1"/>
  <c r="I2" i="1"/>
  <c r="I4" i="1"/>
  <c r="I18" i="1"/>
  <c r="I19" i="1"/>
  <c r="I40" i="1"/>
  <c r="I10" i="1"/>
  <c r="I8" i="1"/>
  <c r="I30" i="1"/>
  <c r="I11" i="1"/>
  <c r="I5" i="1"/>
  <c r="I14" i="1"/>
  <c r="I64" i="1"/>
</calcChain>
</file>

<file path=xl/sharedStrings.xml><?xml version="1.0" encoding="utf-8"?>
<sst xmlns="http://schemas.openxmlformats.org/spreadsheetml/2006/main" count="75" uniqueCount="75">
  <si>
    <t>Kombinasi</t>
  </si>
  <si>
    <t>Waktu Pencarian</t>
  </si>
  <si>
    <t>Panjang Jalur</t>
  </si>
  <si>
    <t>Panjang Jalur Real</t>
  </si>
  <si>
    <t>Jumlah Open</t>
  </si>
  <si>
    <t>Jumlah Close</t>
  </si>
  <si>
    <t>Jumlah Belok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</si>
  <si>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</si>
  <si>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</si>
  <si>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</si>
  <si>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</si>
  <si>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</si>
  <si>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</si>
  <si>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</si>
  <si>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</si>
  <si>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</si>
  <si>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</si>
  <si>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</si>
  <si>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</si>
  <si>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</si>
  <si>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</si>
  <si>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</si>
  <si>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</si>
  <si>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</si>
  <si>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</si>
  <si>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</si>
  <si>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</si>
  <si>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JPS-TPF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</si>
  <si>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</si>
  <si>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</si>
  <si>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</si>
  <si>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</si>
  <si>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</si>
  <si>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</si>
  <si>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</si>
  <si>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</si>
  <si>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</si>
  <si>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</si>
  <si>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</si>
  <si>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</si>
  <si>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</si>
  <si>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</si>
  <si>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JPS-BDS-TPF</t>
  </si>
  <si>
    <t>JPS-BRC-PPO</t>
  </si>
  <si>
    <t>JPS-BRC-TPF</t>
  </si>
  <si>
    <t>JPS-GL-BRC</t>
  </si>
  <si>
    <t>JPS-GL-PPO</t>
  </si>
  <si>
    <t>JPS-GL-TPF</t>
  </si>
  <si>
    <t>JPS-TPF-PPO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</si>
  <si>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</si>
  <si>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</si>
  <si>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</si>
  <si>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</si>
  <si>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</si>
  <si>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</si>
  <si>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JPS-BDS-BRC-TPF</t>
  </si>
  <si>
    <t>JPS-BDS-GL-BRC</t>
  </si>
  <si>
    <t>JPS-BDS-GL-PPO</t>
  </si>
  <si>
    <t>JPS-BDS-GL-TPF</t>
  </si>
  <si>
    <t>JPS-BDS-TPF-PPO</t>
  </si>
  <si>
    <t>JPS-BRC-TPF-PPO</t>
  </si>
  <si>
    <t>JPS-GL-BRC-PPO</t>
  </si>
  <si>
    <t>JPS-GL-BRC-TPF</t>
  </si>
  <si>
    <t>JPS-GL-TPF-PPO</t>
  </si>
  <si>
    <t>BDS-GL-BRC-TPF-PPO</t>
  </si>
  <si>
    <t>JPS-BDS-BRC-TPF-PPO</t>
  </si>
  <si>
    <t>JPS-BDS-GL-BRC-PPO</t>
  </si>
  <si>
    <t>JPS-BDS-GL-BRC-TPF</t>
  </si>
  <si>
    <t>JPS-BDS-GL-TPF-PPO</t>
  </si>
  <si>
    <t>JPS-GL-BRC-TPF-PPO</t>
  </si>
  <si>
    <t>JPS-BDS-GL-BRC-TPF-PPO</t>
  </si>
  <si>
    <t>avg</t>
  </si>
  <si>
    <t>var</t>
  </si>
  <si>
    <t>std</t>
  </si>
  <si>
    <t>Jumlah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</si>
</sst>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workbookViewId="0"/>
  </sheetViews>
  <sheetFormatPr defaultRowHeight="14.4" x14ac:dyDescent="0.3"/>
  <cols>
    <col min="2" max="2" width="22.109375" bestFit="1" customWidth="1"/>
    <col min="3" max="3" width="15.44140625" bestFit="1" customWidth="1"/>
    <col min="4" max="4" width="12.21875" bestFit="1" customWidth="1"/>
    <col min="5" max="5" width="16.33203125" bestFit="1" customWidth="1"/>
    <col min="6" max="6" width="12" bestFit="1" customWidth="1"/>
    <col min="7" max="7" width="11.88671875" bestFit="1" customWidth="1"/>
    <col min="8" max="8" width="12.109375" bestFit="1" customWidth="1"/>
  </cols>
  <sheetData>
    <row r="1" spans="1:11" x14ac:dyDescent="0.3">
      <c r="A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71</v>
      </c>
      <c r="J1" s="2" t="s">
        <v>72</v>
      </c>
      <c r="K1" s="2" t="s">
        <v>73</v>
      </c>
    </row>
    <row r="2" spans="1:11" x14ac:dyDescent="0.3">
      <c r="A2">
        <f>LEN(B2)-LEN(SUBSTITUTE(B2,"-",""))+1</f>
        <v>4</v>
      </c>
      <c r="B2" t="s">
        <v>60</v>
      </c>
      <c r="C2">
        <v>4.1219049999999986E-3</v>
      </c>
      <c r="D2">
        <v>11</v>
      </c>
      <c r="E2">
        <v>97.253304076183326</v>
      </c>
      <c r="F2">
        <v>11.75</v>
      </c>
      <c r="G2">
        <v>26.95</v>
      </c>
      <c r="H2">
        <v>9</v>
      </c>
      <c r="I2">
        <f t="shared" ref="I2:I33" si="0">AVERAGE(C2:H2)</f>
        <v>25.99290433019722</v>
      </c>
      <c r="J2">
        <f t="shared" ref="J2:J33" si="1">_xlfn.VAR.S(C2:H2)</f>
        <v>1294.1567435223928</v>
      </c>
      <c r="K2">
        <f t="shared" ref="K2:K33" si="2">_xlfn.STDEV.S(C2:H2)</f>
        <v>35.974390106329707</v>
      </c>
    </row>
    <row r="3" spans="1:11" x14ac:dyDescent="0.3">
      <c r="A3">
        <f t="shared" ref="A3:A65" si="3">LEN(B3)-LEN(SUBSTITUTE(B3,"-",""))+1</f>
        <v>3</v>
      </c>
      <c r="B3" t="s">
        <v>43</v>
      </c>
      <c r="C3">
        <v>4.2538850000000007E-3</v>
      </c>
      <c r="D3">
        <v>11</v>
      </c>
      <c r="E3">
        <v>97.253304076183326</v>
      </c>
      <c r="F3">
        <v>11.65</v>
      </c>
      <c r="G3">
        <v>27.55</v>
      </c>
      <c r="H3">
        <v>9</v>
      </c>
      <c r="I3">
        <f t="shared" si="0"/>
        <v>26.076259660197223</v>
      </c>
      <c r="J3">
        <f t="shared" si="1"/>
        <v>1295.020452926788</v>
      </c>
      <c r="K3">
        <f t="shared" si="2"/>
        <v>35.986392607856487</v>
      </c>
    </row>
    <row r="4" spans="1:11" x14ac:dyDescent="0.3">
      <c r="A4">
        <f t="shared" si="3"/>
        <v>4</v>
      </c>
      <c r="B4" t="s">
        <v>61</v>
      </c>
      <c r="C4">
        <v>4.4020500000000002E-3</v>
      </c>
      <c r="D4">
        <v>11.4</v>
      </c>
      <c r="E4">
        <v>97.581102103629476</v>
      </c>
      <c r="F4">
        <v>12.45</v>
      </c>
      <c r="G4">
        <v>27.75</v>
      </c>
      <c r="H4">
        <v>9.4</v>
      </c>
      <c r="I4">
        <f t="shared" si="0"/>
        <v>26.430917358938249</v>
      </c>
      <c r="J4">
        <f t="shared" si="1"/>
        <v>1294.7792305053733</v>
      </c>
      <c r="K4">
        <f t="shared" si="2"/>
        <v>35.983040873519478</v>
      </c>
    </row>
    <row r="5" spans="1:11" x14ac:dyDescent="0.3">
      <c r="A5">
        <f t="shared" si="3"/>
        <v>5</v>
      </c>
      <c r="B5" t="s">
        <v>69</v>
      </c>
      <c r="C5">
        <v>4.4211700000000003E-3</v>
      </c>
      <c r="D5">
        <v>11.4</v>
      </c>
      <c r="E5">
        <v>97.581102103629476</v>
      </c>
      <c r="F5">
        <v>12.45</v>
      </c>
      <c r="G5">
        <v>27.75</v>
      </c>
      <c r="H5">
        <v>9.4</v>
      </c>
      <c r="I5">
        <f t="shared" si="0"/>
        <v>26.430920545604916</v>
      </c>
      <c r="J5">
        <f t="shared" si="1"/>
        <v>1294.7790283954455</v>
      </c>
      <c r="K5">
        <f t="shared" si="2"/>
        <v>35.98303806511403</v>
      </c>
    </row>
    <row r="6" spans="1:11" x14ac:dyDescent="0.3">
      <c r="A6">
        <f t="shared" si="3"/>
        <v>3</v>
      </c>
      <c r="B6" t="s">
        <v>41</v>
      </c>
      <c r="C6">
        <v>5.4570399999999989E-3</v>
      </c>
      <c r="D6">
        <v>9.1999999999999993</v>
      </c>
      <c r="E6">
        <v>92.764815679459943</v>
      </c>
      <c r="F6">
        <v>16.75</v>
      </c>
      <c r="G6">
        <v>35.049999999999997</v>
      </c>
      <c r="H6">
        <v>7.2</v>
      </c>
      <c r="I6">
        <f t="shared" si="0"/>
        <v>26.828378786576653</v>
      </c>
      <c r="J6">
        <f t="shared" si="1"/>
        <v>1186.4569215854494</v>
      </c>
      <c r="K6">
        <f t="shared" si="2"/>
        <v>34.444983982946624</v>
      </c>
    </row>
    <row r="7" spans="1:11" x14ac:dyDescent="0.3">
      <c r="A7">
        <f t="shared" si="3"/>
        <v>4</v>
      </c>
      <c r="B7" t="s">
        <v>54</v>
      </c>
      <c r="C7">
        <v>5.1678550000000007E-3</v>
      </c>
      <c r="D7">
        <v>11.15</v>
      </c>
      <c r="E7">
        <v>96.401534221050412</v>
      </c>
      <c r="F7">
        <v>15.9</v>
      </c>
      <c r="G7">
        <v>30.5</v>
      </c>
      <c r="H7">
        <v>9.1</v>
      </c>
      <c r="I7">
        <f t="shared" si="0"/>
        <v>27.176117012675068</v>
      </c>
      <c r="J7">
        <f t="shared" si="1"/>
        <v>1250.4400623118868</v>
      </c>
      <c r="K7">
        <f t="shared" si="2"/>
        <v>35.361561932582767</v>
      </c>
    </row>
    <row r="8" spans="1:11" s="3" customFormat="1" x14ac:dyDescent="0.3">
      <c r="A8">
        <f t="shared" si="3"/>
        <v>5</v>
      </c>
      <c r="B8" s="3" t="s">
        <v>66</v>
      </c>
      <c r="C8" s="3">
        <v>5.1823800000000003E-3</v>
      </c>
      <c r="D8" s="3">
        <v>11.35</v>
      </c>
      <c r="E8" s="3">
        <v>96.811570142749588</v>
      </c>
      <c r="F8" s="3">
        <v>17.25</v>
      </c>
      <c r="G8" s="3">
        <v>28.95</v>
      </c>
      <c r="H8" s="3">
        <v>9.3000000000000007</v>
      </c>
      <c r="I8" s="3">
        <f t="shared" si="0"/>
        <v>27.277792087124933</v>
      </c>
      <c r="J8">
        <f t="shared" si="1"/>
        <v>1251.7979986942182</v>
      </c>
      <c r="K8">
        <f t="shared" si="2"/>
        <v>35.380757463545322</v>
      </c>
    </row>
    <row r="9" spans="1:11" x14ac:dyDescent="0.3">
      <c r="A9">
        <f t="shared" si="3"/>
        <v>4</v>
      </c>
      <c r="B9" t="s">
        <v>57</v>
      </c>
      <c r="C9">
        <v>5.0669699999999996E-3</v>
      </c>
      <c r="D9">
        <v>11.25</v>
      </c>
      <c r="E9">
        <v>96.40095104720146</v>
      </c>
      <c r="F9">
        <v>17.399999999999999</v>
      </c>
      <c r="G9">
        <v>30.85</v>
      </c>
      <c r="H9">
        <v>9.15</v>
      </c>
      <c r="I9">
        <f t="shared" si="0"/>
        <v>27.509336336200246</v>
      </c>
      <c r="J9">
        <f t="shared" si="1"/>
        <v>1243.4658749059988</v>
      </c>
      <c r="K9">
        <f t="shared" si="2"/>
        <v>35.26281150030438</v>
      </c>
    </row>
    <row r="10" spans="1:11" x14ac:dyDescent="0.3">
      <c r="A10">
        <f t="shared" si="3"/>
        <v>5</v>
      </c>
      <c r="B10" t="s">
        <v>65</v>
      </c>
      <c r="C10">
        <v>5.3969999999999999E-3</v>
      </c>
      <c r="D10">
        <v>9.75</v>
      </c>
      <c r="E10">
        <v>99.522392368525942</v>
      </c>
      <c r="F10">
        <v>16.95</v>
      </c>
      <c r="G10">
        <v>32</v>
      </c>
      <c r="H10">
        <v>7.75</v>
      </c>
      <c r="I10">
        <f t="shared" si="0"/>
        <v>27.662964894754325</v>
      </c>
      <c r="J10">
        <f t="shared" si="1"/>
        <v>1355.9392702543955</v>
      </c>
      <c r="K10">
        <f t="shared" si="2"/>
        <v>36.823080673056069</v>
      </c>
    </row>
    <row r="11" spans="1:11" x14ac:dyDescent="0.3">
      <c r="A11">
        <f t="shared" si="3"/>
        <v>5</v>
      </c>
      <c r="B11" t="s">
        <v>68</v>
      </c>
      <c r="C11">
        <v>6.0128149999999986E-3</v>
      </c>
      <c r="D11">
        <v>10.95</v>
      </c>
      <c r="E11">
        <v>95.679034212460891</v>
      </c>
      <c r="F11">
        <v>17.45</v>
      </c>
      <c r="G11">
        <v>33.4</v>
      </c>
      <c r="H11">
        <v>8.9</v>
      </c>
      <c r="I11">
        <f t="shared" si="0"/>
        <v>27.730841171243483</v>
      </c>
      <c r="J11">
        <f t="shared" si="1"/>
        <v>1231.9310623189619</v>
      </c>
      <c r="K11">
        <f t="shared" si="2"/>
        <v>35.098875513596759</v>
      </c>
    </row>
    <row r="12" spans="1:11" x14ac:dyDescent="0.3">
      <c r="A12">
        <f t="shared" si="3"/>
        <v>3</v>
      </c>
      <c r="B12" t="s">
        <v>44</v>
      </c>
      <c r="C12">
        <v>4.0263149999999999E-3</v>
      </c>
      <c r="D12">
        <v>18.850000000000001</v>
      </c>
      <c r="E12">
        <v>99.130927060973946</v>
      </c>
      <c r="F12">
        <v>11.75</v>
      </c>
      <c r="G12">
        <v>26.95</v>
      </c>
      <c r="H12">
        <v>10.85</v>
      </c>
      <c r="I12">
        <f t="shared" si="0"/>
        <v>27.922492229328984</v>
      </c>
      <c r="J12">
        <f t="shared" si="1"/>
        <v>1297.2714564795444</v>
      </c>
      <c r="K12">
        <f t="shared" si="2"/>
        <v>36.017654788721941</v>
      </c>
    </row>
    <row r="13" spans="1:11" x14ac:dyDescent="0.3">
      <c r="A13">
        <f t="shared" si="3"/>
        <v>2</v>
      </c>
      <c r="B13" t="s">
        <v>24</v>
      </c>
      <c r="C13">
        <v>4.175425E-3</v>
      </c>
      <c r="D13">
        <v>18.850000000000001</v>
      </c>
      <c r="E13">
        <v>99.130927060973946</v>
      </c>
      <c r="F13">
        <v>11.65</v>
      </c>
      <c r="G13">
        <v>27.55</v>
      </c>
      <c r="H13">
        <v>10.85</v>
      </c>
      <c r="I13">
        <f t="shared" si="0"/>
        <v>28.005850414328993</v>
      </c>
      <c r="J13">
        <f t="shared" si="1"/>
        <v>1297.7489545647361</v>
      </c>
      <c r="K13">
        <f t="shared" si="2"/>
        <v>36.024282845946232</v>
      </c>
    </row>
    <row r="14" spans="1:11" s="3" customFormat="1" x14ac:dyDescent="0.3">
      <c r="A14">
        <f t="shared" si="3"/>
        <v>6</v>
      </c>
      <c r="B14" s="3" t="s">
        <v>70</v>
      </c>
      <c r="C14" s="3">
        <v>5.7693950000000009E-3</v>
      </c>
      <c r="D14" s="3">
        <v>11.4</v>
      </c>
      <c r="E14" s="3">
        <v>99.450828686644769</v>
      </c>
      <c r="F14" s="3">
        <v>17</v>
      </c>
      <c r="G14" s="3">
        <v>31.1</v>
      </c>
      <c r="H14" s="3">
        <v>9.35</v>
      </c>
      <c r="I14" s="3">
        <f t="shared" si="0"/>
        <v>28.051099680274124</v>
      </c>
      <c r="J14">
        <f t="shared" si="1"/>
        <v>1328.5749400220468</v>
      </c>
      <c r="K14">
        <f t="shared" si="2"/>
        <v>36.449621946215665</v>
      </c>
    </row>
    <row r="15" spans="1:11" x14ac:dyDescent="0.3">
      <c r="A15">
        <f t="shared" si="3"/>
        <v>3</v>
      </c>
      <c r="B15" t="s">
        <v>46</v>
      </c>
      <c r="C15">
        <v>6.3522550000000011E-3</v>
      </c>
      <c r="D15">
        <v>9.9499999999999993</v>
      </c>
      <c r="E15">
        <v>94.324349526678361</v>
      </c>
      <c r="F15">
        <v>15</v>
      </c>
      <c r="G15">
        <v>41.8</v>
      </c>
      <c r="H15">
        <v>7.95</v>
      </c>
      <c r="I15">
        <f t="shared" si="0"/>
        <v>28.171783630279723</v>
      </c>
      <c r="J15">
        <f t="shared" si="1"/>
        <v>1253.9263193028698</v>
      </c>
      <c r="K15">
        <f t="shared" si="2"/>
        <v>35.410822064770962</v>
      </c>
    </row>
    <row r="16" spans="1:11" x14ac:dyDescent="0.3">
      <c r="A16">
        <f t="shared" si="3"/>
        <v>2</v>
      </c>
      <c r="B16" t="s">
        <v>26</v>
      </c>
      <c r="C16">
        <v>7.9057550000000004E-3</v>
      </c>
      <c r="D16">
        <v>9</v>
      </c>
      <c r="E16">
        <v>94.129850728560768</v>
      </c>
      <c r="F16">
        <v>12.25</v>
      </c>
      <c r="G16">
        <v>46.65</v>
      </c>
      <c r="H16">
        <v>7</v>
      </c>
      <c r="I16">
        <f t="shared" si="0"/>
        <v>28.172959413926794</v>
      </c>
      <c r="J16">
        <f t="shared" si="1"/>
        <v>1310.8840015698991</v>
      </c>
      <c r="K16">
        <f t="shared" si="2"/>
        <v>36.206132098995319</v>
      </c>
    </row>
    <row r="17" spans="1:11" x14ac:dyDescent="0.3">
      <c r="A17">
        <f t="shared" si="3"/>
        <v>3</v>
      </c>
      <c r="B17" t="s">
        <v>45</v>
      </c>
      <c r="C17">
        <v>4.3084050000000004E-3</v>
      </c>
      <c r="D17">
        <v>19.399999999999999</v>
      </c>
      <c r="E17">
        <v>99.4652416360247</v>
      </c>
      <c r="F17">
        <v>12.45</v>
      </c>
      <c r="G17">
        <v>27.75</v>
      </c>
      <c r="H17">
        <v>11.2</v>
      </c>
      <c r="I17">
        <f t="shared" si="0"/>
        <v>28.378258340170778</v>
      </c>
      <c r="J17">
        <f t="shared" si="1"/>
        <v>1297.6492067492604</v>
      </c>
      <c r="K17">
        <f t="shared" si="2"/>
        <v>36.022898366861881</v>
      </c>
    </row>
    <row r="18" spans="1:11" x14ac:dyDescent="0.3">
      <c r="A18">
        <f t="shared" si="3"/>
        <v>4</v>
      </c>
      <c r="B18" t="s">
        <v>62</v>
      </c>
      <c r="C18">
        <v>4.3338500000000002E-3</v>
      </c>
      <c r="D18">
        <v>19.399999999999999</v>
      </c>
      <c r="E18">
        <v>99.4652416360247</v>
      </c>
      <c r="F18">
        <v>12.45</v>
      </c>
      <c r="G18">
        <v>27.75</v>
      </c>
      <c r="H18">
        <v>11.2</v>
      </c>
      <c r="I18">
        <f t="shared" si="0"/>
        <v>28.378262581004112</v>
      </c>
      <c r="J18">
        <f t="shared" si="1"/>
        <v>1297.6489179593059</v>
      </c>
      <c r="K18">
        <f t="shared" si="2"/>
        <v>36.022894358439686</v>
      </c>
    </row>
    <row r="19" spans="1:11" x14ac:dyDescent="0.3">
      <c r="A19">
        <f t="shared" si="3"/>
        <v>4</v>
      </c>
      <c r="B19" t="s">
        <v>63</v>
      </c>
      <c r="C19">
        <v>6.5454250000000014E-3</v>
      </c>
      <c r="D19">
        <v>10.5</v>
      </c>
      <c r="E19">
        <v>95.302702649425811</v>
      </c>
      <c r="F19">
        <v>14.75</v>
      </c>
      <c r="G19">
        <v>42.05</v>
      </c>
      <c r="H19">
        <v>8.5</v>
      </c>
      <c r="I19">
        <f t="shared" si="0"/>
        <v>28.518208012404301</v>
      </c>
      <c r="J19">
        <f t="shared" si="1"/>
        <v>1274.2282091389793</v>
      </c>
      <c r="K19">
        <f t="shared" si="2"/>
        <v>35.696333273026504</v>
      </c>
    </row>
    <row r="20" spans="1:11" x14ac:dyDescent="0.3">
      <c r="A20">
        <f t="shared" si="3"/>
        <v>3</v>
      </c>
      <c r="B20" t="s">
        <v>48</v>
      </c>
      <c r="C20">
        <v>7.7220349999999986E-3</v>
      </c>
      <c r="D20">
        <v>9.6999999999999993</v>
      </c>
      <c r="E20">
        <v>95.244064290933849</v>
      </c>
      <c r="F20">
        <v>12.7</v>
      </c>
      <c r="G20">
        <v>46</v>
      </c>
      <c r="H20">
        <v>7.7</v>
      </c>
      <c r="I20">
        <f t="shared" si="0"/>
        <v>28.558631054322309</v>
      </c>
      <c r="J20">
        <f t="shared" si="1"/>
        <v>1321.7058792207902</v>
      </c>
      <c r="K20">
        <f t="shared" si="2"/>
        <v>36.355273059362247</v>
      </c>
    </row>
    <row r="21" spans="1:11" x14ac:dyDescent="0.3">
      <c r="A21">
        <f t="shared" si="3"/>
        <v>4</v>
      </c>
      <c r="B21" t="s">
        <v>59</v>
      </c>
      <c r="C21">
        <v>6.2643300000000002E-3</v>
      </c>
      <c r="D21">
        <v>9.8000000000000007</v>
      </c>
      <c r="E21">
        <v>98.600668691583124</v>
      </c>
      <c r="F21">
        <v>17.850000000000001</v>
      </c>
      <c r="G21">
        <v>37.700000000000003</v>
      </c>
      <c r="H21">
        <v>7.8</v>
      </c>
      <c r="I21">
        <f t="shared" si="0"/>
        <v>28.626155503597193</v>
      </c>
      <c r="J21">
        <f t="shared" si="1"/>
        <v>1340.4287464344811</v>
      </c>
      <c r="K21">
        <f t="shared" si="2"/>
        <v>36.61186619710174</v>
      </c>
    </row>
    <row r="22" spans="1:11" x14ac:dyDescent="0.3">
      <c r="A22">
        <f t="shared" si="3"/>
        <v>2</v>
      </c>
      <c r="B22" t="s">
        <v>23</v>
      </c>
      <c r="C22">
        <v>5.3549600000000006E-3</v>
      </c>
      <c r="D22">
        <v>18.05</v>
      </c>
      <c r="E22">
        <v>95.466460966906681</v>
      </c>
      <c r="F22">
        <v>16.75</v>
      </c>
      <c r="G22">
        <v>35.049999999999997</v>
      </c>
      <c r="H22">
        <v>9.0500000000000007</v>
      </c>
      <c r="I22">
        <f t="shared" si="0"/>
        <v>29.061969321151121</v>
      </c>
      <c r="J22">
        <f t="shared" si="1"/>
        <v>1192.6053666560681</v>
      </c>
      <c r="K22">
        <f t="shared" si="2"/>
        <v>34.534118877655878</v>
      </c>
    </row>
    <row r="23" spans="1:11" x14ac:dyDescent="0.3">
      <c r="A23">
        <f t="shared" si="3"/>
        <v>4</v>
      </c>
      <c r="B23" t="s">
        <v>56</v>
      </c>
      <c r="C23">
        <v>5.0783499999999997E-3</v>
      </c>
      <c r="D23">
        <v>19.25</v>
      </c>
      <c r="E23">
        <v>99.623820279787381</v>
      </c>
      <c r="F23">
        <v>17.25</v>
      </c>
      <c r="G23">
        <v>28.95</v>
      </c>
      <c r="H23">
        <v>11.6</v>
      </c>
      <c r="I23">
        <f t="shared" si="0"/>
        <v>29.44648310496456</v>
      </c>
      <c r="J23">
        <f t="shared" si="1"/>
        <v>1272.6241778846472</v>
      </c>
      <c r="K23">
        <f t="shared" si="2"/>
        <v>35.673858466454774</v>
      </c>
    </row>
    <row r="24" spans="1:11" x14ac:dyDescent="0.3">
      <c r="A24">
        <f t="shared" si="3"/>
        <v>3</v>
      </c>
      <c r="B24" t="s">
        <v>40</v>
      </c>
      <c r="C24">
        <v>4.9714599999999996E-3</v>
      </c>
      <c r="D24">
        <v>19.25</v>
      </c>
      <c r="E24">
        <v>99.055191129685852</v>
      </c>
      <c r="F24">
        <v>17.399999999999999</v>
      </c>
      <c r="G24">
        <v>30.85</v>
      </c>
      <c r="H24">
        <v>11.5</v>
      </c>
      <c r="I24">
        <f t="shared" si="0"/>
        <v>29.676693764947643</v>
      </c>
      <c r="J24">
        <f t="shared" si="1"/>
        <v>1256.9977995086231</v>
      </c>
      <c r="K24">
        <f t="shared" si="2"/>
        <v>35.454164769581347</v>
      </c>
    </row>
    <row r="25" spans="1:11" x14ac:dyDescent="0.3">
      <c r="A25">
        <f t="shared" si="3"/>
        <v>3</v>
      </c>
      <c r="B25" t="s">
        <v>39</v>
      </c>
      <c r="C25">
        <v>5.0496500000000001E-3</v>
      </c>
      <c r="D25">
        <v>19.350000000000001</v>
      </c>
      <c r="E25">
        <v>102.29869401394031</v>
      </c>
      <c r="F25">
        <v>15.9</v>
      </c>
      <c r="G25">
        <v>30.5</v>
      </c>
      <c r="H25">
        <v>11.3</v>
      </c>
      <c r="I25">
        <f t="shared" si="0"/>
        <v>29.892290610656719</v>
      </c>
      <c r="J25">
        <f t="shared" si="1"/>
        <v>1357.7802189490033</v>
      </c>
      <c r="K25">
        <f t="shared" si="2"/>
        <v>36.848069405994707</v>
      </c>
    </row>
    <row r="26" spans="1:11" x14ac:dyDescent="0.3">
      <c r="A26">
        <f t="shared" si="3"/>
        <v>2</v>
      </c>
      <c r="B26" t="s">
        <v>25</v>
      </c>
      <c r="C26">
        <v>6.2702000000000009E-3</v>
      </c>
      <c r="D26">
        <v>17.649999999999999</v>
      </c>
      <c r="E26">
        <v>95.905800795126837</v>
      </c>
      <c r="F26">
        <v>15</v>
      </c>
      <c r="G26">
        <v>41.8</v>
      </c>
      <c r="H26">
        <v>9.6</v>
      </c>
      <c r="I26">
        <f t="shared" si="0"/>
        <v>29.993678499187805</v>
      </c>
      <c r="J26">
        <f t="shared" si="1"/>
        <v>1235.224133198823</v>
      </c>
      <c r="K26">
        <f t="shared" si="2"/>
        <v>35.14575555026272</v>
      </c>
    </row>
    <row r="27" spans="1:11" x14ac:dyDescent="0.3">
      <c r="A27">
        <f t="shared" si="3"/>
        <v>1</v>
      </c>
      <c r="B27" t="s">
        <v>11</v>
      </c>
      <c r="C27">
        <v>7.8221300000000001E-3</v>
      </c>
      <c r="D27">
        <v>17.149999999999999</v>
      </c>
      <c r="E27">
        <v>95.466460966906681</v>
      </c>
      <c r="F27">
        <v>12.25</v>
      </c>
      <c r="G27">
        <v>46.65</v>
      </c>
      <c r="H27">
        <v>8.5</v>
      </c>
      <c r="I27">
        <f t="shared" si="0"/>
        <v>30.004047182817782</v>
      </c>
      <c r="J27">
        <f t="shared" si="1"/>
        <v>1281.0091293278201</v>
      </c>
      <c r="K27">
        <f t="shared" si="2"/>
        <v>35.791187872545109</v>
      </c>
    </row>
    <row r="28" spans="1:11" x14ac:dyDescent="0.3">
      <c r="A28">
        <f t="shared" si="3"/>
        <v>4</v>
      </c>
      <c r="B28" t="s">
        <v>55</v>
      </c>
      <c r="C28">
        <v>5.3185200000000002E-3</v>
      </c>
      <c r="D28">
        <v>18.7</v>
      </c>
      <c r="E28">
        <v>103.8058007951268</v>
      </c>
      <c r="F28">
        <v>16.95</v>
      </c>
      <c r="G28">
        <v>32</v>
      </c>
      <c r="H28">
        <v>9.65</v>
      </c>
      <c r="I28">
        <f t="shared" si="0"/>
        <v>30.185186552521131</v>
      </c>
      <c r="J28">
        <f t="shared" si="1"/>
        <v>1412.5772767482374</v>
      </c>
      <c r="K28">
        <f t="shared" si="2"/>
        <v>37.584269006437218</v>
      </c>
    </row>
    <row r="29" spans="1:11" x14ac:dyDescent="0.3">
      <c r="A29">
        <f t="shared" si="3"/>
        <v>4</v>
      </c>
      <c r="B29" t="s">
        <v>58</v>
      </c>
      <c r="C29">
        <v>5.917630000000001E-3</v>
      </c>
      <c r="D29">
        <v>19.399999999999999</v>
      </c>
      <c r="E29">
        <v>100.0149891043306</v>
      </c>
      <c r="F29">
        <v>17.45</v>
      </c>
      <c r="G29">
        <v>33.4</v>
      </c>
      <c r="H29">
        <v>10.9</v>
      </c>
      <c r="I29">
        <f t="shared" si="0"/>
        <v>30.195151122388435</v>
      </c>
      <c r="J29">
        <f t="shared" si="1"/>
        <v>1289.5495345468914</v>
      </c>
      <c r="K29">
        <f t="shared" si="2"/>
        <v>35.910298446920372</v>
      </c>
    </row>
    <row r="30" spans="1:11" x14ac:dyDescent="0.3">
      <c r="A30">
        <f t="shared" si="3"/>
        <v>5</v>
      </c>
      <c r="B30" t="s">
        <v>67</v>
      </c>
      <c r="C30">
        <v>5.6154550000000001E-3</v>
      </c>
      <c r="D30">
        <v>19.25</v>
      </c>
      <c r="E30">
        <v>103.10960671741429</v>
      </c>
      <c r="F30">
        <v>17</v>
      </c>
      <c r="G30">
        <v>31.1</v>
      </c>
      <c r="H30">
        <v>11.65</v>
      </c>
      <c r="I30">
        <f t="shared" si="0"/>
        <v>30.352537028735714</v>
      </c>
      <c r="J30">
        <f t="shared" si="1"/>
        <v>1373.2854008937088</v>
      </c>
      <c r="K30">
        <f t="shared" si="2"/>
        <v>37.057865573906291</v>
      </c>
    </row>
    <row r="31" spans="1:11" x14ac:dyDescent="0.3">
      <c r="A31">
        <f t="shared" si="3"/>
        <v>2</v>
      </c>
      <c r="B31" t="s">
        <v>27</v>
      </c>
      <c r="C31">
        <v>7.6949650000000007E-3</v>
      </c>
      <c r="D31">
        <v>18</v>
      </c>
      <c r="E31">
        <v>96.580674529279761</v>
      </c>
      <c r="F31">
        <v>12.7</v>
      </c>
      <c r="G31">
        <v>46</v>
      </c>
      <c r="H31">
        <v>9.1999999999999993</v>
      </c>
      <c r="I31">
        <f t="shared" si="0"/>
        <v>30.414728249046629</v>
      </c>
      <c r="J31">
        <f t="shared" si="1"/>
        <v>1292.6845169926053</v>
      </c>
      <c r="K31">
        <f t="shared" si="2"/>
        <v>35.953922136431864</v>
      </c>
    </row>
    <row r="32" spans="1:11" x14ac:dyDescent="0.3">
      <c r="A32">
        <f t="shared" si="3"/>
        <v>3</v>
      </c>
      <c r="B32" t="s">
        <v>47</v>
      </c>
      <c r="C32">
        <v>6.4687750000000004E-3</v>
      </c>
      <c r="D32">
        <v>18.649999999999999</v>
      </c>
      <c r="E32">
        <v>97.195750288788005</v>
      </c>
      <c r="F32">
        <v>14.75</v>
      </c>
      <c r="G32">
        <v>42.05</v>
      </c>
      <c r="H32">
        <v>10.25</v>
      </c>
      <c r="I32">
        <f t="shared" si="0"/>
        <v>30.483703177297997</v>
      </c>
      <c r="J32">
        <f t="shared" si="1"/>
        <v>1262.0253919271668</v>
      </c>
      <c r="K32">
        <f t="shared" si="2"/>
        <v>35.524996719594036</v>
      </c>
    </row>
    <row r="33" spans="1:11" x14ac:dyDescent="0.3">
      <c r="A33">
        <f t="shared" si="3"/>
        <v>3</v>
      </c>
      <c r="B33" t="s">
        <v>42</v>
      </c>
      <c r="C33">
        <v>6.1662299999999991E-3</v>
      </c>
      <c r="D33">
        <v>18.649999999999999</v>
      </c>
      <c r="E33">
        <v>101.706662992262</v>
      </c>
      <c r="F33">
        <v>17.850000000000001</v>
      </c>
      <c r="G33">
        <v>37.700000000000003</v>
      </c>
      <c r="H33">
        <v>9.6</v>
      </c>
      <c r="I33">
        <f t="shared" si="0"/>
        <v>30.918804870377002</v>
      </c>
      <c r="J33">
        <f t="shared" si="1"/>
        <v>1357.6610734738513</v>
      </c>
      <c r="K33">
        <f t="shared" si="2"/>
        <v>36.84645265794051</v>
      </c>
    </row>
    <row r="34" spans="1:11" x14ac:dyDescent="0.3">
      <c r="A34">
        <f t="shared" si="3"/>
        <v>3</v>
      </c>
      <c r="B34" t="s">
        <v>29</v>
      </c>
      <c r="C34">
        <v>9.8343599999999986E-3</v>
      </c>
      <c r="D34">
        <v>10.7</v>
      </c>
      <c r="E34">
        <v>95.051447410283174</v>
      </c>
      <c r="F34">
        <v>242.5</v>
      </c>
      <c r="G34">
        <v>430.7</v>
      </c>
      <c r="H34">
        <v>8.5500000000000007</v>
      </c>
      <c r="I34">
        <f t="shared" ref="I34:I65" si="4">AVERAGE(C34:H34)</f>
        <v>131.25188029504719</v>
      </c>
      <c r="J34">
        <f t="shared" ref="J34:J65" si="5">_xlfn.VAR.S(C34:H34)</f>
        <v>30033.754753118417</v>
      </c>
      <c r="K34">
        <f t="shared" ref="K34:K65" si="6">_xlfn.STDEV.S(C34:H34)</f>
        <v>173.30249494198986</v>
      </c>
    </row>
    <row r="35" spans="1:11" x14ac:dyDescent="0.3">
      <c r="A35">
        <f t="shared" si="3"/>
        <v>2</v>
      </c>
      <c r="B35" t="s">
        <v>18</v>
      </c>
      <c r="C35">
        <v>2.8710469999999998E-2</v>
      </c>
      <c r="D35">
        <v>10.95</v>
      </c>
      <c r="E35">
        <v>95.942091919212857</v>
      </c>
      <c r="F35">
        <v>228.45</v>
      </c>
      <c r="G35">
        <v>456.95</v>
      </c>
      <c r="H35">
        <v>8.8000000000000007</v>
      </c>
      <c r="I35">
        <f t="shared" si="4"/>
        <v>133.52013373153545</v>
      </c>
      <c r="J35">
        <f t="shared" si="5"/>
        <v>32685.835331200622</v>
      </c>
      <c r="K35">
        <f t="shared" si="6"/>
        <v>180.79224355928719</v>
      </c>
    </row>
    <row r="36" spans="1:11" x14ac:dyDescent="0.3">
      <c r="A36">
        <f t="shared" si="3"/>
        <v>4</v>
      </c>
      <c r="B36" t="s">
        <v>49</v>
      </c>
      <c r="C36">
        <v>1.0459725E-2</v>
      </c>
      <c r="D36">
        <v>10.6</v>
      </c>
      <c r="E36">
        <v>96.262525712883303</v>
      </c>
      <c r="F36">
        <v>231.4</v>
      </c>
      <c r="G36">
        <v>471.3</v>
      </c>
      <c r="H36">
        <v>8.4</v>
      </c>
      <c r="I36">
        <f t="shared" si="4"/>
        <v>136.32883090631387</v>
      </c>
      <c r="J36">
        <f t="shared" si="5"/>
        <v>34721.148629667085</v>
      </c>
      <c r="K36">
        <f t="shared" si="6"/>
        <v>186.3361173515942</v>
      </c>
    </row>
    <row r="37" spans="1:11" x14ac:dyDescent="0.3">
      <c r="A37">
        <f t="shared" si="3"/>
        <v>3</v>
      </c>
      <c r="B37" t="s">
        <v>35</v>
      </c>
      <c r="C37">
        <v>3.043096E-2</v>
      </c>
      <c r="D37">
        <v>10.7</v>
      </c>
      <c r="E37">
        <v>97.115190628049064</v>
      </c>
      <c r="F37">
        <v>229.45</v>
      </c>
      <c r="G37">
        <v>494</v>
      </c>
      <c r="H37">
        <v>8.6</v>
      </c>
      <c r="I37">
        <f t="shared" si="4"/>
        <v>139.98260359800818</v>
      </c>
      <c r="J37">
        <f t="shared" si="5"/>
        <v>37746.467563260616</v>
      </c>
      <c r="K37">
        <f t="shared" si="6"/>
        <v>194.28450160334617</v>
      </c>
    </row>
    <row r="38" spans="1:11" x14ac:dyDescent="0.3">
      <c r="A38">
        <f t="shared" si="3"/>
        <v>4</v>
      </c>
      <c r="B38" t="s">
        <v>50</v>
      </c>
      <c r="C38">
        <v>1.5185805E-2</v>
      </c>
      <c r="D38">
        <v>11.2</v>
      </c>
      <c r="E38">
        <v>96.304366757830977</v>
      </c>
      <c r="F38">
        <v>217.9</v>
      </c>
      <c r="G38">
        <v>528.20000000000005</v>
      </c>
      <c r="H38">
        <v>9.15</v>
      </c>
      <c r="I38">
        <f t="shared" si="4"/>
        <v>143.79492542713851</v>
      </c>
      <c r="J38">
        <f t="shared" si="5"/>
        <v>42379.492063131511</v>
      </c>
      <c r="K38">
        <f t="shared" si="6"/>
        <v>205.86279912391046</v>
      </c>
    </row>
    <row r="39" spans="1:11" x14ac:dyDescent="0.3">
      <c r="A39">
        <f t="shared" si="3"/>
        <v>2</v>
      </c>
      <c r="B39" t="s">
        <v>14</v>
      </c>
      <c r="C39">
        <v>9.5076150000000005E-3</v>
      </c>
      <c r="D39">
        <v>82.9</v>
      </c>
      <c r="E39">
        <v>99.379812332144624</v>
      </c>
      <c r="F39">
        <v>242.5</v>
      </c>
      <c r="G39">
        <v>430.7</v>
      </c>
      <c r="H39">
        <v>13.7</v>
      </c>
      <c r="I39">
        <f t="shared" si="4"/>
        <v>144.86488665785745</v>
      </c>
      <c r="J39">
        <f t="shared" si="5"/>
        <v>27066.034974240745</v>
      </c>
      <c r="K39">
        <f t="shared" si="6"/>
        <v>164.51758256867484</v>
      </c>
    </row>
    <row r="40" spans="1:11" x14ac:dyDescent="0.3">
      <c r="A40">
        <f t="shared" si="3"/>
        <v>5</v>
      </c>
      <c r="B40" t="s">
        <v>64</v>
      </c>
      <c r="C40">
        <v>1.439782E-2</v>
      </c>
      <c r="D40">
        <v>11.2</v>
      </c>
      <c r="E40">
        <v>96.11554805056582</v>
      </c>
      <c r="F40">
        <v>232.5</v>
      </c>
      <c r="G40">
        <v>522.54999999999995</v>
      </c>
      <c r="H40">
        <v>9.1</v>
      </c>
      <c r="I40">
        <f t="shared" si="4"/>
        <v>145.2466576450943</v>
      </c>
      <c r="J40">
        <f t="shared" si="5"/>
        <v>41996.330388386094</v>
      </c>
      <c r="K40">
        <f t="shared" si="6"/>
        <v>204.93006218802086</v>
      </c>
    </row>
    <row r="41" spans="1:11" x14ac:dyDescent="0.3">
      <c r="A41">
        <f t="shared" si="3"/>
        <v>4</v>
      </c>
      <c r="B41" t="s">
        <v>53</v>
      </c>
      <c r="C41">
        <v>3.4688625000000001E-2</v>
      </c>
      <c r="D41">
        <v>11.15</v>
      </c>
      <c r="E41">
        <v>96.343053687454997</v>
      </c>
      <c r="F41">
        <v>223.4</v>
      </c>
      <c r="G41">
        <v>536.6</v>
      </c>
      <c r="H41">
        <v>9.1</v>
      </c>
      <c r="I41">
        <f t="shared" si="4"/>
        <v>146.10462371874252</v>
      </c>
      <c r="J41">
        <f t="shared" si="5"/>
        <v>43851.374253030503</v>
      </c>
      <c r="K41">
        <f t="shared" si="6"/>
        <v>209.40719723311923</v>
      </c>
    </row>
    <row r="42" spans="1:11" x14ac:dyDescent="0.3">
      <c r="A42">
        <f t="shared" si="3"/>
        <v>3</v>
      </c>
      <c r="B42" t="s">
        <v>36</v>
      </c>
      <c r="C42">
        <v>3.5856364999999987E-2</v>
      </c>
      <c r="D42">
        <v>11.35</v>
      </c>
      <c r="E42">
        <v>96.470693022813506</v>
      </c>
      <c r="F42">
        <v>222.45</v>
      </c>
      <c r="G42">
        <v>543.5</v>
      </c>
      <c r="H42">
        <v>9.35</v>
      </c>
      <c r="I42">
        <f t="shared" si="4"/>
        <v>147.19275823130224</v>
      </c>
      <c r="J42">
        <f t="shared" si="5"/>
        <v>44880.968988709836</v>
      </c>
      <c r="K42">
        <f t="shared" si="6"/>
        <v>211.85128979713537</v>
      </c>
    </row>
    <row r="43" spans="1:11" x14ac:dyDescent="0.3">
      <c r="A43">
        <f t="shared" si="3"/>
        <v>1</v>
      </c>
      <c r="B43" t="s">
        <v>9</v>
      </c>
      <c r="C43">
        <v>2.8290889999999999E-2</v>
      </c>
      <c r="D43">
        <v>86.95</v>
      </c>
      <c r="E43">
        <v>101.545140623347</v>
      </c>
      <c r="F43">
        <v>228.45</v>
      </c>
      <c r="G43">
        <v>456.95</v>
      </c>
      <c r="H43">
        <v>16.7</v>
      </c>
      <c r="I43">
        <f t="shared" si="4"/>
        <v>148.43723858555782</v>
      </c>
      <c r="J43">
        <f t="shared" si="5"/>
        <v>29388.32621823097</v>
      </c>
      <c r="K43">
        <f t="shared" si="6"/>
        <v>171.43023717603313</v>
      </c>
    </row>
    <row r="44" spans="1:11" x14ac:dyDescent="0.3">
      <c r="A44">
        <f t="shared" si="3"/>
        <v>3</v>
      </c>
      <c r="B44" t="s">
        <v>30</v>
      </c>
      <c r="C44">
        <v>1.011546E-2</v>
      </c>
      <c r="D44">
        <v>83.9</v>
      </c>
      <c r="E44">
        <v>100.3383909759073</v>
      </c>
      <c r="F44">
        <v>231.4</v>
      </c>
      <c r="G44">
        <v>471.3</v>
      </c>
      <c r="H44">
        <v>13.4</v>
      </c>
      <c r="I44">
        <f t="shared" si="4"/>
        <v>150.05808440598454</v>
      </c>
      <c r="J44">
        <f t="shared" si="5"/>
        <v>31570.328126479006</v>
      </c>
      <c r="K44">
        <f t="shared" si="6"/>
        <v>177.68041008079368</v>
      </c>
    </row>
    <row r="45" spans="1:11" x14ac:dyDescent="0.3">
      <c r="A45">
        <f t="shared" si="3"/>
        <v>2</v>
      </c>
      <c r="B45" t="s">
        <v>19</v>
      </c>
      <c r="C45">
        <v>3.0107795E-2</v>
      </c>
      <c r="D45">
        <v>88.05</v>
      </c>
      <c r="E45">
        <v>102.72798333582161</v>
      </c>
      <c r="F45">
        <v>229.45</v>
      </c>
      <c r="G45">
        <v>494</v>
      </c>
      <c r="H45">
        <v>14.35</v>
      </c>
      <c r="I45">
        <f t="shared" si="4"/>
        <v>154.76801518847029</v>
      </c>
      <c r="J45">
        <f t="shared" si="5"/>
        <v>34295.247162890548</v>
      </c>
      <c r="K45">
        <f t="shared" si="6"/>
        <v>185.18975987589204</v>
      </c>
    </row>
    <row r="46" spans="1:11" x14ac:dyDescent="0.3">
      <c r="A46">
        <f t="shared" si="3"/>
        <v>3</v>
      </c>
      <c r="B46" t="s">
        <v>31</v>
      </c>
      <c r="C46">
        <v>1.482062E-2</v>
      </c>
      <c r="D46">
        <v>86.2</v>
      </c>
      <c r="E46">
        <v>100.5259018078045</v>
      </c>
      <c r="F46">
        <v>217.9</v>
      </c>
      <c r="G46">
        <v>528.20000000000005</v>
      </c>
      <c r="H46">
        <v>14.4</v>
      </c>
      <c r="I46">
        <f t="shared" si="4"/>
        <v>157.87345373796742</v>
      </c>
      <c r="J46">
        <f t="shared" si="5"/>
        <v>38934.948556599673</v>
      </c>
      <c r="K46">
        <f t="shared" si="6"/>
        <v>197.31940745045753</v>
      </c>
    </row>
    <row r="47" spans="1:11" x14ac:dyDescent="0.3">
      <c r="A47">
        <f t="shared" si="3"/>
        <v>4</v>
      </c>
      <c r="B47" t="s">
        <v>51</v>
      </c>
      <c r="C47">
        <v>1.402522E-2</v>
      </c>
      <c r="D47">
        <v>85.45</v>
      </c>
      <c r="E47">
        <v>100.0865619795843</v>
      </c>
      <c r="F47">
        <v>232.5</v>
      </c>
      <c r="G47">
        <v>522.54999999999995</v>
      </c>
      <c r="H47">
        <v>13.95</v>
      </c>
      <c r="I47">
        <f t="shared" si="4"/>
        <v>159.09176453326404</v>
      </c>
      <c r="J47">
        <f t="shared" si="5"/>
        <v>38553.448066350938</v>
      </c>
      <c r="K47">
        <f t="shared" si="6"/>
        <v>196.35031975107893</v>
      </c>
    </row>
    <row r="48" spans="1:11" x14ac:dyDescent="0.3">
      <c r="A48">
        <f t="shared" si="3"/>
        <v>3</v>
      </c>
      <c r="B48" t="s">
        <v>37</v>
      </c>
      <c r="C48">
        <v>3.433538500000001E-2</v>
      </c>
      <c r="D48">
        <v>86.65</v>
      </c>
      <c r="E48">
        <v>100.706662992262</v>
      </c>
      <c r="F48">
        <v>223.4</v>
      </c>
      <c r="G48">
        <v>536.6</v>
      </c>
      <c r="H48">
        <v>13.9</v>
      </c>
      <c r="I48">
        <f t="shared" si="4"/>
        <v>160.21516639621032</v>
      </c>
      <c r="J48">
        <f t="shared" si="5"/>
        <v>40335.397677952707</v>
      </c>
      <c r="K48">
        <f t="shared" si="6"/>
        <v>200.83674384422963</v>
      </c>
    </row>
    <row r="49" spans="1:11" x14ac:dyDescent="0.3">
      <c r="A49">
        <f t="shared" si="3"/>
        <v>2</v>
      </c>
      <c r="B49" t="s">
        <v>20</v>
      </c>
      <c r="C49">
        <v>3.5589095000000001E-2</v>
      </c>
      <c r="D49">
        <v>87.2</v>
      </c>
      <c r="E49">
        <v>101.5259018078045</v>
      </c>
      <c r="F49">
        <v>222.45</v>
      </c>
      <c r="G49">
        <v>543.5</v>
      </c>
      <c r="H49">
        <v>14.65</v>
      </c>
      <c r="I49">
        <f t="shared" si="4"/>
        <v>161.56024848380073</v>
      </c>
      <c r="J49">
        <f t="shared" si="5"/>
        <v>41278.388332717404</v>
      </c>
      <c r="K49">
        <f t="shared" si="6"/>
        <v>203.17083533991143</v>
      </c>
    </row>
    <row r="50" spans="1:11" x14ac:dyDescent="0.3">
      <c r="A50">
        <f t="shared" si="3"/>
        <v>3</v>
      </c>
      <c r="B50" t="s">
        <v>32</v>
      </c>
      <c r="C50">
        <v>8.3724000000000003E-3</v>
      </c>
      <c r="D50">
        <v>11.65</v>
      </c>
      <c r="E50">
        <v>94.96604375813385</v>
      </c>
      <c r="F50">
        <v>207.35</v>
      </c>
      <c r="G50">
        <v>890.75</v>
      </c>
      <c r="H50">
        <v>9.3000000000000007</v>
      </c>
      <c r="I50">
        <f t="shared" si="4"/>
        <v>202.33740269302231</v>
      </c>
      <c r="J50">
        <f t="shared" si="5"/>
        <v>120005.55997316385</v>
      </c>
      <c r="K50">
        <f t="shared" si="6"/>
        <v>346.41818655082739</v>
      </c>
    </row>
    <row r="51" spans="1:11" x14ac:dyDescent="0.3">
      <c r="A51">
        <f t="shared" si="3"/>
        <v>4</v>
      </c>
      <c r="B51" t="s">
        <v>52</v>
      </c>
      <c r="C51">
        <v>8.5663300000000005E-3</v>
      </c>
      <c r="D51">
        <v>11.55</v>
      </c>
      <c r="E51">
        <v>94.983149630726132</v>
      </c>
      <c r="F51">
        <v>214.7</v>
      </c>
      <c r="G51">
        <v>903.35</v>
      </c>
      <c r="H51">
        <v>9.25</v>
      </c>
      <c r="I51">
        <f t="shared" si="4"/>
        <v>205.64028599345434</v>
      </c>
      <c r="J51">
        <f t="shared" si="5"/>
        <v>123530.10258926735</v>
      </c>
      <c r="K51">
        <f t="shared" si="6"/>
        <v>351.4684944476067</v>
      </c>
    </row>
    <row r="52" spans="1:11" x14ac:dyDescent="0.3">
      <c r="A52">
        <f t="shared" si="3"/>
        <v>2</v>
      </c>
      <c r="B52" t="s">
        <v>15</v>
      </c>
      <c r="C52">
        <v>8.0202699999999995E-3</v>
      </c>
      <c r="D52">
        <v>84.8</v>
      </c>
      <c r="E52">
        <v>99.415851301465665</v>
      </c>
      <c r="F52">
        <v>207.35</v>
      </c>
      <c r="G52">
        <v>890.75</v>
      </c>
      <c r="H52">
        <v>15.95</v>
      </c>
      <c r="I52">
        <f t="shared" si="4"/>
        <v>216.37897859524426</v>
      </c>
      <c r="J52">
        <f t="shared" si="5"/>
        <v>114567.87295735856</v>
      </c>
      <c r="K52">
        <f t="shared" si="6"/>
        <v>338.47876293404073</v>
      </c>
    </row>
    <row r="53" spans="1:11" x14ac:dyDescent="0.3">
      <c r="A53">
        <f t="shared" si="3"/>
        <v>3</v>
      </c>
      <c r="B53" t="s">
        <v>33</v>
      </c>
      <c r="C53">
        <v>8.2059100000000003E-3</v>
      </c>
      <c r="D53">
        <v>84.85</v>
      </c>
      <c r="E53">
        <v>99.652247404533583</v>
      </c>
      <c r="F53">
        <v>214.7</v>
      </c>
      <c r="G53">
        <v>903.35</v>
      </c>
      <c r="H53">
        <v>16</v>
      </c>
      <c r="I53">
        <f t="shared" si="4"/>
        <v>219.76007555242225</v>
      </c>
      <c r="J53">
        <f t="shared" si="5"/>
        <v>117951.29212785466</v>
      </c>
      <c r="K53">
        <f t="shared" si="6"/>
        <v>343.44037637973588</v>
      </c>
    </row>
    <row r="54" spans="1:11" x14ac:dyDescent="0.3">
      <c r="A54">
        <f t="shared" si="3"/>
        <v>2</v>
      </c>
      <c r="B54" t="s">
        <v>21</v>
      </c>
      <c r="C54">
        <v>3.9593120000000002E-2</v>
      </c>
      <c r="D54">
        <v>9.9</v>
      </c>
      <c r="E54">
        <v>91.984921200877267</v>
      </c>
      <c r="F54">
        <v>221.85</v>
      </c>
      <c r="G54">
        <v>1060.95</v>
      </c>
      <c r="H54">
        <v>7.9</v>
      </c>
      <c r="I54">
        <f t="shared" si="4"/>
        <v>232.10408572014623</v>
      </c>
      <c r="J54">
        <f t="shared" si="5"/>
        <v>172044.02652960736</v>
      </c>
      <c r="K54">
        <f t="shared" si="6"/>
        <v>414.78190236509522</v>
      </c>
    </row>
    <row r="55" spans="1:11" x14ac:dyDescent="0.3">
      <c r="A55">
        <f t="shared" si="3"/>
        <v>3</v>
      </c>
      <c r="B55" t="s">
        <v>38</v>
      </c>
      <c r="C55">
        <v>3.7452159999999998E-2</v>
      </c>
      <c r="D55">
        <v>9.9</v>
      </c>
      <c r="E55">
        <v>92.095917778269126</v>
      </c>
      <c r="F55">
        <v>244.05</v>
      </c>
      <c r="G55">
        <v>1071</v>
      </c>
      <c r="H55">
        <v>7.85</v>
      </c>
      <c r="I55">
        <f t="shared" si="4"/>
        <v>237.48889498971153</v>
      </c>
      <c r="J55">
        <f t="shared" si="5"/>
        <v>175367.36860269617</v>
      </c>
      <c r="K55">
        <f t="shared" si="6"/>
        <v>418.76887253316255</v>
      </c>
    </row>
    <row r="56" spans="1:11" x14ac:dyDescent="0.3">
      <c r="A56">
        <f t="shared" si="3"/>
        <v>3</v>
      </c>
      <c r="B56" t="s">
        <v>34</v>
      </c>
      <c r="C56">
        <v>7.5084250000000009E-3</v>
      </c>
      <c r="D56">
        <v>9.0500000000000007</v>
      </c>
      <c r="E56">
        <v>92.206496440983841</v>
      </c>
      <c r="F56">
        <v>257.25</v>
      </c>
      <c r="G56">
        <v>1094.5</v>
      </c>
      <c r="H56">
        <v>7</v>
      </c>
      <c r="I56">
        <f t="shared" si="4"/>
        <v>243.33566747766397</v>
      </c>
      <c r="J56">
        <f t="shared" si="5"/>
        <v>183493.45412829923</v>
      </c>
      <c r="K56">
        <f t="shared" si="6"/>
        <v>428.36135928477398</v>
      </c>
    </row>
    <row r="57" spans="1:11" x14ac:dyDescent="0.3">
      <c r="A57">
        <f t="shared" si="3"/>
        <v>1</v>
      </c>
      <c r="B57" t="s">
        <v>10</v>
      </c>
      <c r="C57">
        <v>3.9248825000000001E-2</v>
      </c>
      <c r="D57">
        <v>80.95</v>
      </c>
      <c r="E57">
        <v>95.8765114732455</v>
      </c>
      <c r="F57">
        <v>221.85</v>
      </c>
      <c r="G57">
        <v>1060.95</v>
      </c>
      <c r="H57">
        <v>11.7</v>
      </c>
      <c r="I57">
        <f t="shared" si="4"/>
        <v>245.22762671637426</v>
      </c>
      <c r="J57">
        <f t="shared" si="5"/>
        <v>165978.97821261548</v>
      </c>
      <c r="K57">
        <f t="shared" si="6"/>
        <v>407.40517695853532</v>
      </c>
    </row>
    <row r="58" spans="1:11" x14ac:dyDescent="0.3">
      <c r="A58">
        <f t="shared" si="3"/>
        <v>2</v>
      </c>
      <c r="B58" t="s">
        <v>22</v>
      </c>
      <c r="C58">
        <v>3.7197380000000002E-2</v>
      </c>
      <c r="D58">
        <v>81.150000000000006</v>
      </c>
      <c r="E58">
        <v>95.993668760770873</v>
      </c>
      <c r="F58">
        <v>244.05</v>
      </c>
      <c r="G58">
        <v>1071</v>
      </c>
      <c r="H58">
        <v>11.7</v>
      </c>
      <c r="I58">
        <f t="shared" si="4"/>
        <v>250.65514435679518</v>
      </c>
      <c r="J58">
        <f t="shared" si="5"/>
        <v>169114.07849412854</v>
      </c>
      <c r="K58">
        <f t="shared" si="6"/>
        <v>411.23482159725791</v>
      </c>
    </row>
    <row r="59" spans="1:11" x14ac:dyDescent="0.3">
      <c r="A59">
        <f t="shared" si="3"/>
        <v>2</v>
      </c>
      <c r="B59" t="s">
        <v>16</v>
      </c>
      <c r="C59">
        <v>7.1844350000000003E-3</v>
      </c>
      <c r="D59">
        <v>9.3000000000000007</v>
      </c>
      <c r="E59">
        <v>91.985986402328749</v>
      </c>
      <c r="F59">
        <v>304.85000000000002</v>
      </c>
      <c r="G59">
        <v>1118.4000000000001</v>
      </c>
      <c r="H59">
        <v>7.15</v>
      </c>
      <c r="I59">
        <f t="shared" si="4"/>
        <v>255.28219513955483</v>
      </c>
      <c r="J59">
        <f t="shared" si="5"/>
        <v>192267.42436288149</v>
      </c>
      <c r="K59">
        <f t="shared" si="6"/>
        <v>438.48309472872666</v>
      </c>
    </row>
    <row r="60" spans="1:11" x14ac:dyDescent="0.3">
      <c r="A60">
        <f t="shared" si="3"/>
        <v>2</v>
      </c>
      <c r="B60" t="s">
        <v>17</v>
      </c>
      <c r="C60">
        <v>7.1566900000000003E-3</v>
      </c>
      <c r="D60">
        <v>80.3</v>
      </c>
      <c r="E60">
        <v>95.992806563635739</v>
      </c>
      <c r="F60">
        <v>257.25</v>
      </c>
      <c r="G60">
        <v>1094.5</v>
      </c>
      <c r="H60">
        <v>12.05</v>
      </c>
      <c r="I60">
        <f t="shared" si="4"/>
        <v>256.68332720893926</v>
      </c>
      <c r="J60">
        <f t="shared" si="5"/>
        <v>176919.54823217465</v>
      </c>
      <c r="K60">
        <f t="shared" si="6"/>
        <v>420.61805504777686</v>
      </c>
    </row>
    <row r="61" spans="1:11" x14ac:dyDescent="0.3">
      <c r="A61">
        <f t="shared" si="3"/>
        <v>1</v>
      </c>
      <c r="B61" t="s">
        <v>8</v>
      </c>
      <c r="C61">
        <v>6.821405E-3</v>
      </c>
      <c r="D61">
        <v>80.25</v>
      </c>
      <c r="E61">
        <v>96.046359954229004</v>
      </c>
      <c r="F61">
        <v>304.85000000000002</v>
      </c>
      <c r="G61">
        <v>1118.4000000000001</v>
      </c>
      <c r="H61">
        <v>12.6</v>
      </c>
      <c r="I61">
        <f t="shared" si="4"/>
        <v>268.69219689320488</v>
      </c>
      <c r="J61">
        <f t="shared" si="5"/>
        <v>185280.56565584172</v>
      </c>
      <c r="K61">
        <f t="shared" si="6"/>
        <v>430.44229073807526</v>
      </c>
    </row>
    <row r="62" spans="1:11" x14ac:dyDescent="0.3">
      <c r="A62">
        <f t="shared" si="3"/>
        <v>1</v>
      </c>
      <c r="B62" t="s">
        <v>12</v>
      </c>
      <c r="C62">
        <v>5.8907709999999988E-2</v>
      </c>
      <c r="D62">
        <v>8.75</v>
      </c>
      <c r="E62">
        <v>92.482902311963187</v>
      </c>
      <c r="F62">
        <v>265.10000000000002</v>
      </c>
      <c r="G62">
        <v>1574.9</v>
      </c>
      <c r="H62">
        <v>6.75</v>
      </c>
      <c r="I62">
        <f t="shared" si="4"/>
        <v>324.67363500366054</v>
      </c>
      <c r="J62">
        <f t="shared" si="5"/>
        <v>385357.08401824429</v>
      </c>
      <c r="K62">
        <f t="shared" si="6"/>
        <v>620.7713621118844</v>
      </c>
    </row>
    <row r="63" spans="1:11" x14ac:dyDescent="0.3">
      <c r="A63">
        <f t="shared" si="3"/>
        <v>2</v>
      </c>
      <c r="B63" t="s">
        <v>28</v>
      </c>
      <c r="C63">
        <v>5.7396324999999991E-2</v>
      </c>
      <c r="D63">
        <v>8.8000000000000007</v>
      </c>
      <c r="E63">
        <v>92.33396854170924</v>
      </c>
      <c r="F63">
        <v>235.5</v>
      </c>
      <c r="G63">
        <v>1610.25</v>
      </c>
      <c r="H63">
        <v>6.75</v>
      </c>
      <c r="I63">
        <f t="shared" si="4"/>
        <v>325.61522747778486</v>
      </c>
      <c r="J63">
        <f t="shared" si="5"/>
        <v>404172.44436970836</v>
      </c>
      <c r="K63">
        <f t="shared" si="6"/>
        <v>635.74558147871414</v>
      </c>
    </row>
    <row r="64" spans="1:11" x14ac:dyDescent="0.3">
      <c r="A64">
        <f t="shared" si="3"/>
        <v>1</v>
      </c>
      <c r="B64" t="s">
        <v>7</v>
      </c>
      <c r="C64">
        <v>5.8780910000000013E-2</v>
      </c>
      <c r="D64">
        <v>80.25</v>
      </c>
      <c r="E64">
        <v>95.466460966906681</v>
      </c>
      <c r="F64">
        <v>265.10000000000002</v>
      </c>
      <c r="G64">
        <v>1574.9</v>
      </c>
      <c r="H64">
        <v>19.8</v>
      </c>
      <c r="I64">
        <f t="shared" si="4"/>
        <v>339.2625403128178</v>
      </c>
      <c r="J64">
        <f t="shared" si="5"/>
        <v>375187.9087135407</v>
      </c>
      <c r="K64">
        <f t="shared" si="6"/>
        <v>612.52584330258321</v>
      </c>
    </row>
    <row r="65" spans="1:11" x14ac:dyDescent="0.3">
      <c r="A65">
        <f t="shared" si="3"/>
        <v>1</v>
      </c>
      <c r="B65" t="s">
        <v>13</v>
      </c>
      <c r="C65">
        <v>5.7199159999999992E-2</v>
      </c>
      <c r="D65">
        <v>80.25</v>
      </c>
      <c r="E65">
        <v>95.466460966906681</v>
      </c>
      <c r="F65">
        <v>235.5</v>
      </c>
      <c r="G65">
        <v>1610.25</v>
      </c>
      <c r="H65">
        <v>14.4</v>
      </c>
      <c r="I65">
        <f t="shared" si="4"/>
        <v>339.32061002115114</v>
      </c>
      <c r="J65">
        <f t="shared" si="5"/>
        <v>394659.14502610656</v>
      </c>
      <c r="K65">
        <f t="shared" si="6"/>
        <v>628.21902631654393</v>
      </c>
    </row>
  </sheetData>
  <autoFilter ref="A1:K65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2025-07-26T10:48:10Z</dcterms:created>
  <dcterms:modified xsi:type="dcterms:W3CDTF">2025-07-28T01:19:07Z</dcterms:modified>
</cp:coreProperties>
</file>